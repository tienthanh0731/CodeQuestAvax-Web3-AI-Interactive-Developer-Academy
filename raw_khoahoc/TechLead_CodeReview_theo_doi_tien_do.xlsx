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Theo dõi tiến độ" sheetId="2" state="visible" r:id="rId2"/>
  </sheets>
  <definedNames>
    <definedName name="_xlnm._FilterDatabase" localSheetId="1" hidden="1">'Theo dõi tiến độ'!$A$4:$H$273</definedName>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sz val="14"/>
    </font>
    <font>
      <b val="1"/>
      <color rgb="00FFFFFF"/>
    </font>
    <font>
      <b val="1"/>
    </font>
    <font>
      <b val="1"/>
      <sz val="12"/>
    </font>
  </fonts>
  <fills count="5">
    <fill>
      <patternFill/>
    </fill>
    <fill>
      <patternFill patternType="gray125"/>
    </fill>
    <fill>
      <patternFill patternType="solid">
        <fgColor rgb="001F3864"/>
      </patternFill>
    </fill>
    <fill>
      <patternFill patternType="solid">
        <fgColor rgb="00DDEBF7"/>
      </patternFill>
    </fill>
    <fill>
      <patternFill patternType="solid">
        <fgColor rgb="00B4C6E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pivotButton="0" quotePrefix="0" xfId="0"/>
    <xf numFmtId="9" fontId="0" fillId="0" borderId="1" pivotButton="0" quotePrefix="0" xfId="0"/>
    <xf numFmtId="0" fontId="3" fillId="0" borderId="1" pivotButton="0" quotePrefix="0" xfId="0"/>
    <xf numFmtId="9" fontId="3" fillId="0" borderId="1" pivotButton="0" quotePrefix="0" xfId="0"/>
    <xf numFmtId="0" fontId="2" fillId="2" borderId="1" applyAlignment="1" pivotButton="0" quotePrefix="0" xfId="0">
      <alignment horizontal="center" vertical="center" wrapText="1"/>
    </xf>
    <xf numFmtId="0" fontId="4" fillId="4" borderId="1"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center" wrapText="1"/>
    </xf>
    <xf numFmtId="0" fontId="4" fillId="4" borderId="1" applyAlignment="1" pivotButton="0" quotePrefix="0" xfId="0">
      <alignment horizontal="center" vertical="center"/>
    </xf>
    <xf numFmtId="164" fontId="4" fillId="4" borderId="1" applyAlignment="1" pivotButton="0" quotePrefix="0" xfId="0">
      <alignment horizontal="center" vertical="center"/>
    </xf>
    <xf numFmtId="9" fontId="4" fillId="4" borderId="1" applyAlignment="1" pivotButton="0" quotePrefix="0" xfId="0">
      <alignment horizontal="center" vertical="center"/>
    </xf>
    <xf numFmtId="0" fontId="4" fillId="4" borderId="1" applyAlignment="1" pivotButton="0" quotePrefix="0" xfId="0">
      <alignment vertical="center" wrapText="1"/>
    </xf>
    <xf numFmtId="0" fontId="3" fillId="3" borderId="1" applyAlignment="1" pivotButton="0" quotePrefix="0" xfId="0">
      <alignment vertical="center"/>
    </xf>
    <xf numFmtId="0" fontId="3" fillId="3" borderId="1" applyAlignment="1" pivotButton="0" quotePrefix="0" xfId="0">
      <alignment horizontal="center" vertical="center"/>
    </xf>
    <xf numFmtId="0" fontId="3" fillId="3" borderId="1" applyAlignment="1" pivotButton="0" quotePrefix="0" xfId="0">
      <alignment vertical="center" wrapText="1"/>
    </xf>
    <xf numFmtId="164" fontId="3" fillId="3" borderId="1" applyAlignment="1" pivotButton="0" quotePrefix="0" xfId="0">
      <alignment horizontal="center" vertical="center"/>
    </xf>
    <xf numFmtId="9" fontId="3" fillId="3" borderId="1" applyAlignment="1" pivotButton="0" quotePrefix="0" xfId="0">
      <alignment horizontal="center" vertical="center"/>
    </xf>
    <xf numFmtId="164" fontId="0" fillId="0" borderId="1" applyAlignment="1" pivotButton="0" quotePrefix="0" xfId="0">
      <alignment horizontal="center" vertical="center"/>
    </xf>
    <xf numFmtId="9" fontId="0" fillId="0" borderId="1" applyAlignment="1" pivotButton="0" quotePrefix="0" xfId="0">
      <alignment horizontal="center" vertical="center"/>
    </xf>
  </cellXfs>
  <cellStyles count="1">
    <cellStyle name="Normal" xfId="0" builtinId="0" hidden="0"/>
  </cellStyles>
  <dxfs count="2">
    <dxf>
      <fill>
        <patternFill patternType="solid">
          <bgColor rgb="00C6EF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Tech Lead &amp; Code Review (5 tuần, 20 bài)</t>
        </is>
      </c>
    </row>
    <row r="3">
      <c r="A3" s="2" t="inlineStr">
        <is>
          <t>Tuần</t>
        </is>
      </c>
      <c r="B3" s="2" t="inlineStr">
        <is>
          <t>Số mục</t>
        </is>
      </c>
      <c r="C3" s="2" t="inlineStr">
        <is>
          <t>Đã xong</t>
        </is>
      </c>
      <c r="D3" s="2" t="inlineStr">
        <is>
          <t>% hoàn thành</t>
        </is>
      </c>
    </row>
    <row r="4">
      <c r="A4" s="3" t="inlineStr">
        <is>
          <t>Phần 1: Vai trò Tech Lead</t>
        </is>
      </c>
      <c r="B4" s="3">
        <f>COUNTIF('Theo dõi tiến độ'!E6:E57,"Chưa")+COUNTIF('Theo dõi tiến độ'!E6:E57,"Xong")</f>
        <v/>
      </c>
      <c r="C4" s="3">
        <f>COUNTIF('Theo dõi tiến độ'!E6:E57,"Xong")</f>
        <v/>
      </c>
      <c r="D4" s="4">
        <f>IF(B4=0,0,C4/B4)</f>
        <v/>
      </c>
    </row>
    <row r="5">
      <c r="A5" s="3" t="inlineStr">
        <is>
          <t>Phần 2: Code Review hiệu quả</t>
        </is>
      </c>
      <c r="B5" s="3">
        <f>COUNTIF('Theo dõi tiến độ'!E59:E110,"Chưa")+COUNTIF('Theo dõi tiến độ'!E59:E110,"Xong")</f>
        <v/>
      </c>
      <c r="C5" s="3">
        <f>COUNTIF('Theo dõi tiến độ'!E59:E110,"Xong")</f>
        <v/>
      </c>
      <c r="D5" s="4">
        <f>IF(B5=0,0,C5/B5)</f>
        <v/>
      </c>
    </row>
    <row r="6">
      <c r="A6" s="3" t="inlineStr">
        <is>
          <t>Phần 3: Mentoring &amp; Phát triển Đội ngũ</t>
        </is>
      </c>
      <c r="B6" s="3">
        <f>COUNTIF('Theo dõi tiến độ'!E112:E163,"Chưa")+COUNTIF('Theo dõi tiến độ'!E112:E163,"Xong")</f>
        <v/>
      </c>
      <c r="C6" s="3">
        <f>COUNTIF('Theo dõi tiến độ'!E112:E163,"Xong")</f>
        <v/>
      </c>
      <c r="D6" s="4">
        <f>IF(B6=0,0,C6/B6)</f>
        <v/>
      </c>
    </row>
    <row r="7">
      <c r="A7" s="3" t="inlineStr">
        <is>
          <t>Phần 4: Ra quyết định Kiến trúc</t>
        </is>
      </c>
      <c r="B7" s="3">
        <f>COUNTIF('Theo dõi tiến độ'!E165:E220,"Chưa")+COUNTIF('Theo dõi tiến độ'!E165:E220,"Xong")</f>
        <v/>
      </c>
      <c r="C7" s="3">
        <f>COUNTIF('Theo dõi tiến độ'!E165:E220,"Xong")</f>
        <v/>
      </c>
      <c r="D7" s="4">
        <f>IF(B7=0,0,C7/B7)</f>
        <v/>
      </c>
    </row>
    <row r="8">
      <c r="A8" s="3" t="inlineStr">
        <is>
          <t>Phần 5: Giao tiếp &amp; Cộng tác</t>
        </is>
      </c>
      <c r="B8" s="3">
        <f>COUNTIF('Theo dõi tiến độ'!E222:E273,"Chưa")+COUNTIF('Theo dõi tiến độ'!E222:E273,"Xong")</f>
        <v/>
      </c>
      <c r="C8" s="3">
        <f>COUNTIF('Theo dõi tiến độ'!E222:E273,"Xong")</f>
        <v/>
      </c>
      <c r="D8" s="4">
        <f>IF(B8=0,0,C8/B8)</f>
        <v/>
      </c>
    </row>
    <row r="9">
      <c r="A9" s="5" t="inlineStr">
        <is>
          <t>TỔNG</t>
        </is>
      </c>
      <c r="B9" s="5">
        <f>SUM(B4:B8)</f>
        <v/>
      </c>
      <c r="C9" s="5">
        <f>SUM(C4:C8)</f>
        <v/>
      </c>
      <c r="D9" s="6">
        <f>C9/B9</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3"/>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Tech Lead &amp; Code Review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7" t="inlineStr">
        <is>
          <t>Tuần</t>
        </is>
      </c>
      <c r="B4" s="7" t="inlineStr">
        <is>
          <t>Bài</t>
        </is>
      </c>
      <c r="C4" s="7" t="inlineStr">
        <is>
          <t>Phần / Đề mục</t>
        </is>
      </c>
      <c r="D4" s="7" t="inlineStr">
        <is>
          <t>Tên đề mục</t>
        </is>
      </c>
      <c r="E4" s="7" t="inlineStr">
        <is>
          <t>Trạng thái</t>
        </is>
      </c>
      <c r="F4" s="7" t="inlineStr">
        <is>
          <t>Ngày học</t>
        </is>
      </c>
      <c r="G4" s="7" t="inlineStr">
        <is>
          <t>% hoàn thành</t>
        </is>
      </c>
      <c r="H4" s="7" t="inlineStr">
        <is>
          <t>Ghi chú</t>
        </is>
      </c>
    </row>
    <row r="5">
      <c r="A5" s="8" t="inlineStr">
        <is>
          <t>Phần 1: Vai trò Tech Lead</t>
        </is>
      </c>
      <c r="B5" s="9" t="n"/>
      <c r="C5" s="10" t="n"/>
      <c r="D5" s="11" t="n"/>
      <c r="E5" s="12" t="n"/>
      <c r="F5" s="13" t="n"/>
      <c r="G5" s="14">
        <f>COUNTIF(E7:E57,"Xong")/COUNTA(E7:E57)</f>
        <v/>
      </c>
      <c r="H5" s="15" t="n"/>
    </row>
    <row r="6">
      <c r="A6" s="16" t="inlineStr">
        <is>
          <t>Phần 1</t>
        </is>
      </c>
      <c r="B6" s="17" t="n">
        <v>1</v>
      </c>
      <c r="C6" s="16" t="inlineStr">
        <is>
          <t>BÀI HỌC</t>
        </is>
      </c>
      <c r="D6" s="18" t="inlineStr">
        <is>
          <t>Bài 1: Tech Lead là gì — Khác biệt giữa một IC giỏi và một Tech Lead</t>
        </is>
      </c>
      <c r="E6" s="17">
        <f>IF(G6=1,"Hoàn thành",IF(G6&gt;0,"Đang học","Chưa học"))</f>
        <v/>
      </c>
      <c r="F6" s="19" t="n"/>
      <c r="G6" s="20">
        <f>COUNTIF(E7:E17,"Xong")/COUNTA(E7:E17)</f>
        <v/>
      </c>
      <c r="H6" s="18" t="n"/>
    </row>
    <row r="7">
      <c r="A7" s="10" t="inlineStr">
        <is>
          <t>Phần 1</t>
        </is>
      </c>
      <c r="B7" s="9" t="n">
        <v>1</v>
      </c>
      <c r="C7" s="10" t="inlineStr">
        <is>
          <t>Bài đọc</t>
        </is>
      </c>
      <c r="D7" s="11" t="inlineStr">
        <is>
          <t>Giới thiệu</t>
        </is>
      </c>
      <c r="E7" s="9" t="inlineStr">
        <is>
          <t>Chưa</t>
        </is>
      </c>
      <c r="F7" s="21" t="n"/>
      <c r="G7" s="22" t="n"/>
      <c r="H7" s="11" t="n"/>
    </row>
    <row r="8">
      <c r="A8" s="10" t="inlineStr">
        <is>
          <t>Phần 1</t>
        </is>
      </c>
      <c r="B8" s="9" t="n">
        <v>1</v>
      </c>
      <c r="C8" s="10" t="inlineStr">
        <is>
          <t>Bài đọc</t>
        </is>
      </c>
      <c r="D8" s="11" t="inlineStr">
        <is>
          <t>Kiến thức nền tảng</t>
        </is>
      </c>
      <c r="E8" s="9" t="inlineStr">
        <is>
          <t>Chưa</t>
        </is>
      </c>
      <c r="F8" s="21" t="n"/>
      <c r="G8" s="22" t="n"/>
      <c r="H8" s="11" t="n"/>
    </row>
    <row r="9">
      <c r="A9" s="10" t="inlineStr">
        <is>
          <t>Phần 1</t>
        </is>
      </c>
      <c r="B9" s="9" t="n">
        <v>1</v>
      </c>
      <c r="C9" s="10" t="inlineStr">
        <is>
          <t>Bài đọc</t>
        </is>
      </c>
      <c r="D9" s="11" t="inlineStr">
        <is>
          <t>Tech Lead là gì? Định nghĩa và bản chất</t>
        </is>
      </c>
      <c r="E9" s="9" t="inlineStr">
        <is>
          <t>Chưa</t>
        </is>
      </c>
      <c r="F9" s="21" t="n"/>
      <c r="G9" s="22" t="n"/>
      <c r="H9" s="11" t="n"/>
    </row>
    <row r="10">
      <c r="A10" s="10" t="inlineStr">
        <is>
          <t>Phần 1</t>
        </is>
      </c>
      <c r="B10" s="9" t="n">
        <v>1</v>
      </c>
      <c r="C10" s="10" t="inlineStr">
        <is>
          <t>Bài đọc</t>
        </is>
      </c>
      <c r="D10" s="11" t="inlineStr">
        <is>
          <t>Sự khác biệt giữa IC giỏi và Tech Lead</t>
        </is>
      </c>
      <c r="E10" s="9" t="inlineStr">
        <is>
          <t>Chưa</t>
        </is>
      </c>
      <c r="F10" s="21" t="n"/>
      <c r="G10" s="22" t="n"/>
      <c r="H10" s="11" t="n"/>
    </row>
    <row r="11">
      <c r="A11" s="10" t="inlineStr">
        <is>
          <t>Phần 1</t>
        </is>
      </c>
      <c r="B11" s="9" t="n">
        <v>1</v>
      </c>
      <c r="C11" s="10" t="inlineStr">
        <is>
          <t>Bài đọc</t>
        </is>
      </c>
      <c r="D11" s="11" t="inlineStr">
        <is>
          <t>Các kỹ năng cốt lõi của một Tech Lead</t>
        </is>
      </c>
      <c r="E11" s="9" t="inlineStr">
        <is>
          <t>Chưa</t>
        </is>
      </c>
      <c r="F11" s="21" t="n"/>
      <c r="G11" s="22" t="n"/>
      <c r="H11" s="11" t="n"/>
    </row>
    <row r="12">
      <c r="A12" s="10" t="inlineStr">
        <is>
          <t>Phần 1</t>
        </is>
      </c>
      <c r="B12" s="9" t="n">
        <v>1</v>
      </c>
      <c r="C12" s="10" t="inlineStr">
        <is>
          <t>Bài đọc</t>
        </is>
      </c>
      <c r="D12" s="11" t="inlineStr">
        <is>
          <t>Quy trình chuyển đổi từ IC giỏi lên Tech Lead</t>
        </is>
      </c>
      <c r="E12" s="9" t="inlineStr">
        <is>
          <t>Chưa</t>
        </is>
      </c>
      <c r="F12" s="21" t="n"/>
      <c r="G12" s="22" t="n"/>
      <c r="H12" s="11" t="n"/>
    </row>
    <row r="13">
      <c r="A13" s="10" t="inlineStr">
        <is>
          <t>Phần 1</t>
        </is>
      </c>
      <c r="B13" s="9" t="n">
        <v>1</v>
      </c>
      <c r="C13" s="10" t="inlineStr">
        <is>
          <t>Bài đọc</t>
        </is>
      </c>
      <c r="D13" s="11" t="inlineStr">
        <is>
          <t>Những sai lầm thường gặp</t>
        </is>
      </c>
      <c r="E13" s="9" t="inlineStr">
        <is>
          <t>Chưa</t>
        </is>
      </c>
      <c r="F13" s="21" t="n"/>
      <c r="G13" s="22" t="n"/>
      <c r="H13" s="11" t="n"/>
    </row>
    <row r="14">
      <c r="A14" s="10" t="inlineStr">
        <is>
          <t>Phần 1</t>
        </is>
      </c>
      <c r="B14" s="9" t="n">
        <v>1</v>
      </c>
      <c r="C14" s="10" t="inlineStr">
        <is>
          <t>Bài đọc</t>
        </is>
      </c>
      <c r="D14" s="11" t="inlineStr">
        <is>
          <t>Best Practices cho Tech Lead (2026)</t>
        </is>
      </c>
      <c r="E14" s="9" t="inlineStr">
        <is>
          <t>Chưa</t>
        </is>
      </c>
      <c r="F14" s="21" t="n"/>
      <c r="G14" s="22" t="n"/>
      <c r="H14" s="11" t="n"/>
    </row>
    <row r="15">
      <c r="A15" s="10" t="inlineStr">
        <is>
          <t>Phần 1</t>
        </is>
      </c>
      <c r="B15" s="9" t="n">
        <v>1</v>
      </c>
      <c r="C15" s="10" t="inlineStr">
        <is>
          <t>Bài đọc</t>
        </is>
      </c>
      <c r="D15" s="11" t="inlineStr">
        <is>
          <t>Tài liệu tham khảo</t>
        </is>
      </c>
      <c r="E15" s="9" t="inlineStr">
        <is>
          <t>Chưa</t>
        </is>
      </c>
      <c r="F15" s="21" t="n"/>
      <c r="G15" s="22" t="n"/>
      <c r="H15" s="11" t="n"/>
    </row>
    <row r="16">
      <c r="A16" s="10" t="inlineStr">
        <is>
          <t>Phần 1</t>
        </is>
      </c>
      <c r="B16" s="9" t="n">
        <v>1</v>
      </c>
      <c r="C16" s="10" t="inlineStr">
        <is>
          <t>Bài đọc</t>
        </is>
      </c>
      <c r="D16" s="11" t="inlineStr">
        <is>
          <t>Tổng kết</t>
        </is>
      </c>
      <c r="E16" s="9" t="inlineStr">
        <is>
          <t>Chưa</t>
        </is>
      </c>
      <c r="F16" s="21" t="n"/>
      <c r="G16" s="22" t="n"/>
      <c r="H16" s="11" t="n"/>
    </row>
    <row r="17">
      <c r="A17" s="10" t="inlineStr">
        <is>
          <t>Phần 1</t>
        </is>
      </c>
      <c r="B17" s="9" t="n">
        <v>1</v>
      </c>
      <c r="C17" s="10" t="inlineStr">
        <is>
          <t>Quiz</t>
        </is>
      </c>
      <c r="D17" s="11" t="inlineStr">
        <is>
          <t>Làm bài kiểm tra cuối bài</t>
        </is>
      </c>
      <c r="E17" s="9" t="inlineStr">
        <is>
          <t>Chưa</t>
        </is>
      </c>
      <c r="F17" s="21" t="n"/>
      <c r="G17" s="22" t="n"/>
      <c r="H17" s="11" t="n"/>
    </row>
    <row r="18">
      <c r="A18" s="16" t="inlineStr">
        <is>
          <t>Phần 1</t>
        </is>
      </c>
      <c r="B18" s="17" t="n">
        <v>2</v>
      </c>
      <c r="C18" s="16" t="inlineStr">
        <is>
          <t>BÀI HỌC</t>
        </is>
      </c>
      <c r="D18" s="18" t="inlineStr">
        <is>
          <t>Bài 2: Chuyển đổi từ Developer sang Tech Lead — Thay đổi tư duy</t>
        </is>
      </c>
      <c r="E18" s="17">
        <f>IF(G18=1,"Hoàn thành",IF(G18&gt;0,"Đang học","Chưa học"))</f>
        <v/>
      </c>
      <c r="F18" s="19" t="n"/>
      <c r="G18" s="20">
        <f>COUNTIF(E19:E30,"Xong")/COUNTA(E19:E30)</f>
        <v/>
      </c>
      <c r="H18" s="18" t="n"/>
    </row>
    <row r="19">
      <c r="A19" s="10" t="inlineStr">
        <is>
          <t>Phần 1</t>
        </is>
      </c>
      <c r="B19" s="9" t="n">
        <v>2</v>
      </c>
      <c r="C19" s="10" t="inlineStr">
        <is>
          <t>Bài đọc</t>
        </is>
      </c>
      <c r="D19" s="11" t="inlineStr">
        <is>
          <t>Giới thiệu</t>
        </is>
      </c>
      <c r="E19" s="9" t="inlineStr">
        <is>
          <t>Chưa</t>
        </is>
      </c>
      <c r="F19" s="21" t="n"/>
      <c r="G19" s="22" t="n"/>
      <c r="H19" s="11" t="n"/>
    </row>
    <row r="20">
      <c r="A20" s="10" t="inlineStr">
        <is>
          <t>Phần 1</t>
        </is>
      </c>
      <c r="B20" s="9" t="n">
        <v>2</v>
      </c>
      <c r="C20" s="10" t="inlineStr">
        <is>
          <t>Bài đọc</t>
        </is>
      </c>
      <c r="D20" s="11" t="inlineStr">
        <is>
          <t>Kiến thức nền tảng</t>
        </is>
      </c>
      <c r="E20" s="9" t="inlineStr">
        <is>
          <t>Chưa</t>
        </is>
      </c>
      <c r="F20" s="21" t="n"/>
      <c r="G20" s="22" t="n"/>
      <c r="H20" s="11" t="n"/>
    </row>
    <row r="21">
      <c r="A21" s="10" t="inlineStr">
        <is>
          <t>Phần 1</t>
        </is>
      </c>
      <c r="B21" s="9" t="n">
        <v>2</v>
      </c>
      <c r="C21" s="10" t="inlineStr">
        <is>
          <t>Bài đọc</t>
        </is>
      </c>
      <c r="D21" s="11" t="inlineStr">
        <is>
          <t>1. Bản năng "Tự Làm Hết" — Kẻ thù lớn nhất</t>
        </is>
      </c>
      <c r="E21" s="9" t="inlineStr">
        <is>
          <t>Chưa</t>
        </is>
      </c>
      <c r="F21" s="21" t="n"/>
      <c r="G21" s="22" t="n"/>
      <c r="H21" s="11" t="n"/>
    </row>
    <row r="22">
      <c r="A22" s="10" t="inlineStr">
        <is>
          <t>Phần 1</t>
        </is>
      </c>
      <c r="B22" s="9" t="n">
        <v>2</v>
      </c>
      <c r="C22" s="10" t="inlineStr">
        <is>
          <t>Bài đọc</t>
        </is>
      </c>
      <c r="D22" s="11" t="inlineStr">
        <is>
          <t>2. Tư duy Trao Quyền (Empowerment Mindset)</t>
        </is>
      </c>
      <c r="E22" s="9" t="inlineStr">
        <is>
          <t>Chưa</t>
        </is>
      </c>
      <c r="F22" s="21" t="n"/>
      <c r="G22" s="22" t="n"/>
      <c r="H22" s="11" t="n"/>
    </row>
    <row r="23">
      <c r="A23" s="10" t="inlineStr">
        <is>
          <t>Phần 1</t>
        </is>
      </c>
      <c r="B23" s="9" t="n">
        <v>2</v>
      </c>
      <c r="C23" s="10" t="inlineStr">
        <is>
          <t>Bài đọc</t>
        </is>
      </c>
      <c r="D23" s="11" t="inlineStr">
        <is>
          <t>3. Tư duy Nhân Rộng Năng Lực (Scaling Mindset)</t>
        </is>
      </c>
      <c r="E23" s="9" t="inlineStr">
        <is>
          <t>Chưa</t>
        </is>
      </c>
      <c r="F23" s="21" t="n"/>
      <c r="G23" s="22" t="n"/>
      <c r="H23" s="11" t="n"/>
    </row>
    <row r="24">
      <c r="A24" s="10" t="inlineStr">
        <is>
          <t>Phần 1</t>
        </is>
      </c>
      <c r="B24" s="9" t="n">
        <v>2</v>
      </c>
      <c r="C24" s="10" t="inlineStr">
        <is>
          <t>Bài đọc</t>
        </is>
      </c>
      <c r="D24" s="11" t="inlineStr">
        <is>
          <t>4. Tư duy Dẫn Dắt Kỹ Thuật (Technical Leadership)</t>
        </is>
      </c>
      <c r="E24" s="9" t="inlineStr">
        <is>
          <t>Chưa</t>
        </is>
      </c>
      <c r="F24" s="21" t="n"/>
      <c r="G24" s="22" t="n"/>
      <c r="H24" s="11" t="n"/>
    </row>
    <row r="25">
      <c r="A25" s="10" t="inlineStr">
        <is>
          <t>Phần 1</t>
        </is>
      </c>
      <c r="B25" s="9" t="n">
        <v>2</v>
      </c>
      <c r="C25" s="10" t="inlineStr">
        <is>
          <t>Bài đọc</t>
        </is>
      </c>
      <c r="D25" s="11" t="inlineStr">
        <is>
          <t>5. Xây dựng Lòng Tin và Uy Tín</t>
        </is>
      </c>
      <c r="E25" s="9" t="inlineStr">
        <is>
          <t>Chưa</t>
        </is>
      </c>
      <c r="F25" s="21" t="n"/>
      <c r="G25" s="22" t="n"/>
      <c r="H25" s="11" t="n"/>
    </row>
    <row r="26">
      <c r="A26" s="10" t="inlineStr">
        <is>
          <t>Phần 1</t>
        </is>
      </c>
      <c r="B26" s="9" t="n">
        <v>2</v>
      </c>
      <c r="C26" s="10" t="inlineStr">
        <is>
          <t>Bài đọc</t>
        </is>
      </c>
      <c r="D26" s="11" t="inlineStr">
        <is>
          <t>6. Các Sai Lầm Thường Gặp</t>
        </is>
      </c>
      <c r="E26" s="9" t="inlineStr">
        <is>
          <t>Chưa</t>
        </is>
      </c>
      <c r="F26" s="21" t="n"/>
      <c r="G26" s="22" t="n"/>
      <c r="H26" s="11" t="n"/>
    </row>
    <row r="27">
      <c r="A27" s="10" t="inlineStr">
        <is>
          <t>Phần 1</t>
        </is>
      </c>
      <c r="B27" s="9" t="n">
        <v>2</v>
      </c>
      <c r="C27" s="10" t="inlineStr">
        <is>
          <t>Bài đọc</t>
        </is>
      </c>
      <c r="D27" s="11" t="inlineStr">
        <is>
          <t>7. Best Practices cho Tech Lead 2026</t>
        </is>
      </c>
      <c r="E27" s="9" t="inlineStr">
        <is>
          <t>Chưa</t>
        </is>
      </c>
      <c r="F27" s="21" t="n"/>
      <c r="G27" s="22" t="n"/>
      <c r="H27" s="11" t="n"/>
    </row>
    <row r="28">
      <c r="A28" s="10" t="inlineStr">
        <is>
          <t>Phần 1</t>
        </is>
      </c>
      <c r="B28" s="9" t="n">
        <v>2</v>
      </c>
      <c r="C28" s="10" t="inlineStr">
        <is>
          <t>Bài đọc</t>
        </is>
      </c>
      <c r="D28" s="11" t="inlineStr">
        <is>
          <t>8. Tài liệu Tham khảo</t>
        </is>
      </c>
      <c r="E28" s="9" t="inlineStr">
        <is>
          <t>Chưa</t>
        </is>
      </c>
      <c r="F28" s="21" t="n"/>
      <c r="G28" s="22" t="n"/>
      <c r="H28" s="11" t="n"/>
    </row>
    <row r="29">
      <c r="A29" s="10" t="inlineStr">
        <is>
          <t>Phần 1</t>
        </is>
      </c>
      <c r="B29" s="9" t="n">
        <v>2</v>
      </c>
      <c r="C29" s="10" t="inlineStr">
        <is>
          <t>Bài đọc</t>
        </is>
      </c>
      <c r="D29" s="11" t="inlineStr">
        <is>
          <t>Tổng kết</t>
        </is>
      </c>
      <c r="E29" s="9" t="inlineStr">
        <is>
          <t>Chưa</t>
        </is>
      </c>
      <c r="F29" s="21" t="n"/>
      <c r="G29" s="22" t="n"/>
      <c r="H29" s="11" t="n"/>
    </row>
    <row r="30">
      <c r="A30" s="10" t="inlineStr">
        <is>
          <t>Phần 1</t>
        </is>
      </c>
      <c r="B30" s="9" t="n">
        <v>2</v>
      </c>
      <c r="C30" s="10" t="inlineStr">
        <is>
          <t>Quiz</t>
        </is>
      </c>
      <c r="D30" s="11" t="inlineStr">
        <is>
          <t>Làm bài kiểm tra cuối bài</t>
        </is>
      </c>
      <c r="E30" s="9" t="inlineStr">
        <is>
          <t>Chưa</t>
        </is>
      </c>
      <c r="F30" s="21" t="n"/>
      <c r="G30" s="22" t="n"/>
      <c r="H30" s="11" t="n"/>
    </row>
    <row r="31">
      <c r="A31" s="16" t="inlineStr">
        <is>
          <t>Phần 1</t>
        </is>
      </c>
      <c r="B31" s="17" t="n">
        <v>3</v>
      </c>
      <c r="C31" s="16" t="inlineStr">
        <is>
          <t>BÀI HỌC</t>
        </is>
      </c>
      <c r="D31" s="18" t="inlineStr">
        <is>
          <t>Bài 3: Cân bằng Code và Lãnh đạo — Quản lý thời gian và ưu tiên</t>
        </is>
      </c>
      <c r="E31" s="17">
        <f>IF(G31=1,"Hoàn thành",IF(G31&gt;0,"Đang học","Chưa học"))</f>
        <v/>
      </c>
      <c r="F31" s="19" t="n"/>
      <c r="G31" s="20">
        <f>COUNTIF(E32:E44,"Xong")/COUNTA(E32:E44)</f>
        <v/>
      </c>
      <c r="H31" s="18" t="n"/>
    </row>
    <row r="32">
      <c r="A32" s="10" t="inlineStr">
        <is>
          <t>Phần 1</t>
        </is>
      </c>
      <c r="B32" s="9" t="n">
        <v>3</v>
      </c>
      <c r="C32" s="10" t="inlineStr">
        <is>
          <t>Bài đọc</t>
        </is>
      </c>
      <c r="D32" s="11" t="inlineStr">
        <is>
          <t>Giới thiệu</t>
        </is>
      </c>
      <c r="E32" s="9" t="inlineStr">
        <is>
          <t>Chưa</t>
        </is>
      </c>
      <c r="F32" s="21" t="n"/>
      <c r="G32" s="22" t="n"/>
      <c r="H32" s="11" t="n"/>
    </row>
    <row r="33">
      <c r="A33" s="10" t="inlineStr">
        <is>
          <t>Phần 1</t>
        </is>
      </c>
      <c r="B33" s="9" t="n">
        <v>3</v>
      </c>
      <c r="C33" s="10" t="inlineStr">
        <is>
          <t>Bài đọc</t>
        </is>
      </c>
      <c r="D33" s="11" t="inlineStr">
        <is>
          <t>Điều kiện tiên quyết</t>
        </is>
      </c>
      <c r="E33" s="9" t="inlineStr">
        <is>
          <t>Chưa</t>
        </is>
      </c>
      <c r="F33" s="21" t="n"/>
      <c r="G33" s="22" t="n"/>
      <c r="H33" s="11" t="n"/>
    </row>
    <row r="34">
      <c r="A34" s="10" t="inlineStr">
        <is>
          <t>Phần 1</t>
        </is>
      </c>
      <c r="B34" s="9" t="n">
        <v>3</v>
      </c>
      <c r="C34" s="10" t="inlineStr">
        <is>
          <t>Bài đọc</t>
        </is>
      </c>
      <c r="D34" s="11" t="inlineStr">
        <is>
          <t>1. Sự thật phũ phàng: Bạn không thể làm tất cả</t>
        </is>
      </c>
      <c r="E34" s="9" t="inlineStr">
        <is>
          <t>Chưa</t>
        </is>
      </c>
      <c r="F34" s="21" t="n"/>
      <c r="G34" s="22" t="n"/>
      <c r="H34" s="11" t="n"/>
    </row>
    <row r="35">
      <c r="A35" s="10" t="inlineStr">
        <is>
          <t>Phần 1</t>
        </is>
      </c>
      <c r="B35" s="9" t="n">
        <v>3</v>
      </c>
      <c r="C35" s="10" t="inlineStr">
        <is>
          <t>Bài đọc</t>
        </is>
      </c>
      <c r="D35" s="11" t="inlineStr">
        <is>
          <t>2. Kỹ thuật Time Blocking: Lên lịch cho cả hai vai trò</t>
        </is>
      </c>
      <c r="E35" s="9" t="inlineStr">
        <is>
          <t>Chưa</t>
        </is>
      </c>
      <c r="F35" s="21" t="n"/>
      <c r="G35" s="22" t="n"/>
      <c r="H35" s="11" t="n"/>
    </row>
    <row r="36">
      <c r="A36" s="10" t="inlineStr">
        <is>
          <t>Phần 1</t>
        </is>
      </c>
      <c r="B36" s="9" t="n">
        <v>3</v>
      </c>
      <c r="C36" s="10" t="inlineStr">
        <is>
          <t>Bài đọc</t>
        </is>
      </c>
      <c r="D36" s="11" t="inlineStr">
        <is>
          <t>3. Chiến lược Ủy quyền (Delegation) thông minh</t>
        </is>
      </c>
      <c r="E36" s="9" t="inlineStr">
        <is>
          <t>Chưa</t>
        </is>
      </c>
      <c r="F36" s="21" t="n"/>
      <c r="G36" s="22" t="n"/>
      <c r="H36" s="11" t="n"/>
    </row>
    <row r="37">
      <c r="A37" s="10" t="inlineStr">
        <is>
          <t>Phần 1</t>
        </is>
      </c>
      <c r="B37" s="9" t="n">
        <v>3</v>
      </c>
      <c r="C37" s="10" t="inlineStr">
        <is>
          <t>Bài đọc</t>
        </is>
      </c>
      <c r="D37" s="11" t="inlineStr">
        <is>
          <t>4. Code Review: Cân bằng giữa chất lượng và tốc độ</t>
        </is>
      </c>
      <c r="E37" s="9" t="inlineStr">
        <is>
          <t>Chưa</t>
        </is>
      </c>
      <c r="F37" s="21" t="n"/>
      <c r="G37" s="22" t="n"/>
      <c r="H37" s="11" t="n"/>
    </row>
    <row r="38">
      <c r="A38" s="10" t="inlineStr">
        <is>
          <t>Phần 1</t>
        </is>
      </c>
      <c r="B38" s="9" t="n">
        <v>3</v>
      </c>
      <c r="C38" s="10" t="inlineStr">
        <is>
          <t>Bài đọc</t>
        </is>
      </c>
      <c r="D38" s="11" t="inlineStr">
        <is>
          <t>5. Mentoring và Unblocking: Đầu tư thời gian có chiến lược</t>
        </is>
      </c>
      <c r="E38" s="9" t="inlineStr">
        <is>
          <t>Chưa</t>
        </is>
      </c>
      <c r="F38" s="21" t="n"/>
      <c r="G38" s="22" t="n"/>
      <c r="H38" s="11" t="n"/>
    </row>
    <row r="39">
      <c r="A39" s="10" t="inlineStr">
        <is>
          <t>Phần 1</t>
        </is>
      </c>
      <c r="B39" s="9" t="n">
        <v>3</v>
      </c>
      <c r="C39" s="10" t="inlineStr">
        <is>
          <t>Bài đọc</t>
        </is>
      </c>
      <c r="D39" s="11" t="inlineStr">
        <is>
          <t>6. Công cụ hỗ trợ quản lý thời gian cho Tech Lead (2026)</t>
        </is>
      </c>
      <c r="E39" s="9" t="inlineStr">
        <is>
          <t>Chưa</t>
        </is>
      </c>
      <c r="F39" s="21" t="n"/>
      <c r="G39" s="22" t="n"/>
      <c r="H39" s="11" t="n"/>
    </row>
    <row r="40">
      <c r="A40" s="10" t="inlineStr">
        <is>
          <t>Phần 1</t>
        </is>
      </c>
      <c r="B40" s="9" t="n">
        <v>3</v>
      </c>
      <c r="C40" s="10" t="inlineStr">
        <is>
          <t>Bài đọc</t>
        </is>
      </c>
      <c r="D40" s="11" t="inlineStr">
        <is>
          <t>Lỗi thường gặp (Common Mistakes)</t>
        </is>
      </c>
      <c r="E40" s="9" t="inlineStr">
        <is>
          <t>Chưa</t>
        </is>
      </c>
      <c r="F40" s="21" t="n"/>
      <c r="G40" s="22" t="n"/>
      <c r="H40" s="11" t="n"/>
    </row>
    <row r="41">
      <c r="A41" s="10" t="inlineStr">
        <is>
          <t>Phần 1</t>
        </is>
      </c>
      <c r="B41" s="9" t="n">
        <v>3</v>
      </c>
      <c r="C41" s="10" t="inlineStr">
        <is>
          <t>Bài đọc</t>
        </is>
      </c>
      <c r="D41" s="11" t="inlineStr">
        <is>
          <t>Best Practices</t>
        </is>
      </c>
      <c r="E41" s="9" t="inlineStr">
        <is>
          <t>Chưa</t>
        </is>
      </c>
      <c r="F41" s="21" t="n"/>
      <c r="G41" s="22" t="n"/>
      <c r="H41" s="11" t="n"/>
    </row>
    <row r="42">
      <c r="A42" s="10" t="inlineStr">
        <is>
          <t>Phần 1</t>
        </is>
      </c>
      <c r="B42" s="9" t="n">
        <v>3</v>
      </c>
      <c r="C42" s="10" t="inlineStr">
        <is>
          <t>Bài đọc</t>
        </is>
      </c>
      <c r="D42" s="11" t="inlineStr">
        <is>
          <t>References</t>
        </is>
      </c>
      <c r="E42" s="9" t="inlineStr">
        <is>
          <t>Chưa</t>
        </is>
      </c>
      <c r="F42" s="21" t="n"/>
      <c r="G42" s="22" t="n"/>
      <c r="H42" s="11" t="n"/>
    </row>
    <row r="43">
      <c r="A43" s="10" t="inlineStr">
        <is>
          <t>Phần 1</t>
        </is>
      </c>
      <c r="B43" s="9" t="n">
        <v>3</v>
      </c>
      <c r="C43" s="10" t="inlineStr">
        <is>
          <t>Bài đọc</t>
        </is>
      </c>
      <c r="D43" s="11" t="inlineStr">
        <is>
          <t>Tóm tắt (Summary)</t>
        </is>
      </c>
      <c r="E43" s="9" t="inlineStr">
        <is>
          <t>Chưa</t>
        </is>
      </c>
      <c r="F43" s="21" t="n"/>
      <c r="G43" s="22" t="n"/>
      <c r="H43" s="11" t="n"/>
    </row>
    <row r="44">
      <c r="A44" s="10" t="inlineStr">
        <is>
          <t>Phần 1</t>
        </is>
      </c>
      <c r="B44" s="9" t="n">
        <v>3</v>
      </c>
      <c r="C44" s="10" t="inlineStr">
        <is>
          <t>Quiz</t>
        </is>
      </c>
      <c r="D44" s="11" t="inlineStr">
        <is>
          <t>Làm bài kiểm tra cuối bài</t>
        </is>
      </c>
      <c r="E44" s="9" t="inlineStr">
        <is>
          <t>Chưa</t>
        </is>
      </c>
      <c r="F44" s="21" t="n"/>
      <c r="G44" s="22" t="n"/>
      <c r="H44" s="11" t="n"/>
    </row>
    <row r="45">
      <c r="A45" s="16" t="inlineStr">
        <is>
          <t>Phần 1</t>
        </is>
      </c>
      <c r="B45" s="17" t="n">
        <v>4</v>
      </c>
      <c r="C45" s="16" t="inlineStr">
        <is>
          <t>BÀI HỌC</t>
        </is>
      </c>
      <c r="D45" s="18" t="inlineStr">
        <is>
          <t>Bài 4: Xây dựng Niềm tin &amp; Ảnh hưởng — Lãnh đạo không qua chức danh</t>
        </is>
      </c>
      <c r="E45" s="17">
        <f>IF(G45=1,"Hoàn thành",IF(G45&gt;0,"Đang học","Chưa học"))</f>
        <v/>
      </c>
      <c r="F45" s="19" t="n"/>
      <c r="G45" s="20">
        <f>COUNTIF(E46:E57,"Xong")/COUNTA(E46:E57)</f>
        <v/>
      </c>
      <c r="H45" s="18" t="n"/>
    </row>
    <row r="46">
      <c r="A46" s="10" t="inlineStr">
        <is>
          <t>Phần 1</t>
        </is>
      </c>
      <c r="B46" s="9" t="n">
        <v>4</v>
      </c>
      <c r="C46" s="10" t="inlineStr">
        <is>
          <t>Bài đọc</t>
        </is>
      </c>
      <c r="D46" s="11" t="inlineStr">
        <is>
          <t>Giới thiệu</t>
        </is>
      </c>
      <c r="E46" s="9" t="inlineStr">
        <is>
          <t>Chưa</t>
        </is>
      </c>
      <c r="F46" s="21" t="n"/>
      <c r="G46" s="22" t="n"/>
      <c r="H46" s="11" t="n"/>
    </row>
    <row r="47">
      <c r="A47" s="10" t="inlineStr">
        <is>
          <t>Phần 1</t>
        </is>
      </c>
      <c r="B47" s="9" t="n">
        <v>4</v>
      </c>
      <c r="C47" s="10" t="inlineStr">
        <is>
          <t>Bài đọc</t>
        </is>
      </c>
      <c r="D47" s="11" t="inlineStr">
        <is>
          <t>Kiến thức nền tảng</t>
        </is>
      </c>
      <c r="E47" s="9" t="inlineStr">
        <is>
          <t>Chưa</t>
        </is>
      </c>
      <c r="F47" s="21" t="n"/>
      <c r="G47" s="22" t="n"/>
      <c r="H47" s="11" t="n"/>
    </row>
    <row r="48">
      <c r="A48" s="10" t="inlineStr">
        <is>
          <t>Phần 1</t>
        </is>
      </c>
      <c r="B48" s="9" t="n">
        <v>4</v>
      </c>
      <c r="C48" s="10" t="inlineStr">
        <is>
          <t>Bài đọc</t>
        </is>
      </c>
      <c r="D48" s="11" t="inlineStr">
        <is>
          <t>Từ Quyền lực Chức danh đến Ảnh hưởng Dựa trên Niềm tin</t>
        </is>
      </c>
      <c r="E48" s="9" t="inlineStr">
        <is>
          <t>Chưa</t>
        </is>
      </c>
      <c r="F48" s="21" t="n"/>
      <c r="G48" s="22" t="n"/>
      <c r="H48" s="11" t="n"/>
    </row>
    <row r="49">
      <c r="A49" s="10" t="inlineStr">
        <is>
          <t>Phần 1</t>
        </is>
      </c>
      <c r="B49" s="9" t="n">
        <v>4</v>
      </c>
      <c r="C49" s="10" t="inlineStr">
        <is>
          <t>Bài đọc</t>
        </is>
      </c>
      <c r="D49" s="11" t="inlineStr">
        <is>
          <t>Xây dựng Niềm tin qua Hành động Hàng ngày</t>
        </is>
      </c>
      <c r="E49" s="9" t="inlineStr">
        <is>
          <t>Chưa</t>
        </is>
      </c>
      <c r="F49" s="21" t="n"/>
      <c r="G49" s="22" t="n"/>
      <c r="H49" s="11" t="n"/>
    </row>
    <row r="50">
      <c r="A50" s="10" t="inlineStr">
        <is>
          <t>Phần 1</t>
        </is>
      </c>
      <c r="B50" s="9" t="n">
        <v>4</v>
      </c>
      <c r="C50" s="10" t="inlineStr">
        <is>
          <t>Bài đọc</t>
        </is>
      </c>
      <c r="D50" s="11" t="inlineStr">
        <is>
          <t>Tạo Ảnh hưởng qua Năng lực Chuyên môn</t>
        </is>
      </c>
      <c r="E50" s="9" t="inlineStr">
        <is>
          <t>Chưa</t>
        </is>
      </c>
      <c r="F50" s="21" t="n"/>
      <c r="G50" s="22" t="n"/>
      <c r="H50" s="11" t="n"/>
    </row>
    <row r="51">
      <c r="A51" s="10" t="inlineStr">
        <is>
          <t>Phần 1</t>
        </is>
      </c>
      <c r="B51" s="9" t="n">
        <v>4</v>
      </c>
      <c r="C51" s="10" t="inlineStr">
        <is>
          <t>Bài đọc</t>
        </is>
      </c>
      <c r="D51" s="11" t="inlineStr">
        <is>
          <t>Xây dựng Mối quan hệ và Kết nối</t>
        </is>
      </c>
      <c r="E51" s="9" t="inlineStr">
        <is>
          <t>Chưa</t>
        </is>
      </c>
      <c r="F51" s="21" t="n"/>
      <c r="G51" s="22" t="n"/>
      <c r="H51" s="11" t="n"/>
    </row>
    <row r="52">
      <c r="A52" s="10" t="inlineStr">
        <is>
          <t>Phần 1</t>
        </is>
      </c>
      <c r="B52" s="9" t="n">
        <v>4</v>
      </c>
      <c r="C52" s="10" t="inlineStr">
        <is>
          <t>Bài đọc</t>
        </is>
      </c>
      <c r="D52" s="11" t="inlineStr">
        <is>
          <t>Vượt qua Thách thức khi Không có Chức danh</t>
        </is>
      </c>
      <c r="E52" s="9" t="inlineStr">
        <is>
          <t>Chưa</t>
        </is>
      </c>
      <c r="F52" s="21" t="n"/>
      <c r="G52" s="22" t="n"/>
      <c r="H52" s="11" t="n"/>
    </row>
    <row r="53">
      <c r="A53" s="10" t="inlineStr">
        <is>
          <t>Phần 1</t>
        </is>
      </c>
      <c r="B53" s="9" t="n">
        <v>4</v>
      </c>
      <c r="C53" s="10" t="inlineStr">
        <is>
          <t>Bài đọc</t>
        </is>
      </c>
      <c r="D53" s="11" t="inlineStr">
        <is>
          <t>Các Sai lầm Thường gặp</t>
        </is>
      </c>
      <c r="E53" s="9" t="inlineStr">
        <is>
          <t>Chưa</t>
        </is>
      </c>
      <c r="F53" s="21" t="n"/>
      <c r="G53" s="22" t="n"/>
      <c r="H53" s="11" t="n"/>
    </row>
    <row r="54">
      <c r="A54" s="10" t="inlineStr">
        <is>
          <t>Phần 1</t>
        </is>
      </c>
      <c r="B54" s="9" t="n">
        <v>4</v>
      </c>
      <c r="C54" s="10" t="inlineStr">
        <is>
          <t>Bài đọc</t>
        </is>
      </c>
      <c r="D54" s="11" t="inlineStr">
        <is>
          <t>Thực hành Tốt nhất</t>
        </is>
      </c>
      <c r="E54" s="9" t="inlineStr">
        <is>
          <t>Chưa</t>
        </is>
      </c>
      <c r="F54" s="21" t="n"/>
      <c r="G54" s="22" t="n"/>
      <c r="H54" s="11" t="n"/>
    </row>
    <row r="55">
      <c r="A55" s="10" t="inlineStr">
        <is>
          <t>Phần 1</t>
        </is>
      </c>
      <c r="B55" s="9" t="n">
        <v>4</v>
      </c>
      <c r="C55" s="10" t="inlineStr">
        <is>
          <t>Bài đọc</t>
        </is>
      </c>
      <c r="D55" s="11" t="inlineStr">
        <is>
          <t>Tham khảo</t>
        </is>
      </c>
      <c r="E55" s="9" t="inlineStr">
        <is>
          <t>Chưa</t>
        </is>
      </c>
      <c r="F55" s="21" t="n"/>
      <c r="G55" s="22" t="n"/>
      <c r="H55" s="11" t="n"/>
    </row>
    <row r="56">
      <c r="A56" s="10" t="inlineStr">
        <is>
          <t>Phần 1</t>
        </is>
      </c>
      <c r="B56" s="9" t="n">
        <v>4</v>
      </c>
      <c r="C56" s="10" t="inlineStr">
        <is>
          <t>Bài đọc</t>
        </is>
      </c>
      <c r="D56" s="11" t="inlineStr">
        <is>
          <t>Tóm tắt</t>
        </is>
      </c>
      <c r="E56" s="9" t="inlineStr">
        <is>
          <t>Chưa</t>
        </is>
      </c>
      <c r="F56" s="21" t="n"/>
      <c r="G56" s="22" t="n"/>
      <c r="H56" s="11" t="n"/>
    </row>
    <row r="57">
      <c r="A57" s="10" t="inlineStr">
        <is>
          <t>Phần 1</t>
        </is>
      </c>
      <c r="B57" s="9" t="n">
        <v>4</v>
      </c>
      <c r="C57" s="10" t="inlineStr">
        <is>
          <t>Quiz</t>
        </is>
      </c>
      <c r="D57" s="11" t="inlineStr">
        <is>
          <t>Làm bài kiểm tra cuối bài</t>
        </is>
      </c>
      <c r="E57" s="9" t="inlineStr">
        <is>
          <t>Chưa</t>
        </is>
      </c>
      <c r="F57" s="21" t="n"/>
      <c r="G57" s="22" t="n"/>
      <c r="H57" s="11" t="n"/>
    </row>
    <row r="58">
      <c r="A58" s="8" t="inlineStr">
        <is>
          <t>Phần 2: Code Review hiệu quả</t>
        </is>
      </c>
      <c r="B58" s="9" t="n"/>
      <c r="C58" s="10" t="n"/>
      <c r="D58" s="11" t="n"/>
      <c r="E58" s="12" t="n"/>
      <c r="F58" s="13" t="n"/>
      <c r="G58" s="14">
        <f>COUNTIF(E60:E110,"Xong")/COUNTA(E60:E110)</f>
        <v/>
      </c>
      <c r="H58" s="15" t="n"/>
    </row>
    <row r="59">
      <c r="A59" s="16" t="inlineStr">
        <is>
          <t>Phần 2</t>
        </is>
      </c>
      <c r="B59" s="17" t="n">
        <v>1</v>
      </c>
      <c r="C59" s="16" t="inlineStr">
        <is>
          <t>BÀI HỌC</t>
        </is>
      </c>
      <c r="D59" s="18" t="inlineStr">
        <is>
          <t>Bài 5: Mục đích của Code Review — Hơn cả việc tìm bug</t>
        </is>
      </c>
      <c r="E59" s="17">
        <f>IF(G59=1,"Hoàn thành",IF(G59&gt;0,"Đang học","Chưa học"))</f>
        <v/>
      </c>
      <c r="F59" s="19" t="n"/>
      <c r="G59" s="20">
        <f>COUNTIF(E60:E71,"Xong")/COUNTA(E60:E71)</f>
        <v/>
      </c>
      <c r="H59" s="18" t="n"/>
    </row>
    <row r="60">
      <c r="A60" s="10" t="inlineStr">
        <is>
          <t>Phần 2</t>
        </is>
      </c>
      <c r="B60" s="9" t="n">
        <v>1</v>
      </c>
      <c r="C60" s="10" t="inlineStr">
        <is>
          <t>Bài đọc</t>
        </is>
      </c>
      <c r="D60" s="11" t="inlineStr">
        <is>
          <t>Giới thiệu</t>
        </is>
      </c>
      <c r="E60" s="9" t="inlineStr">
        <is>
          <t>Chưa</t>
        </is>
      </c>
      <c r="F60" s="21" t="n"/>
      <c r="G60" s="22" t="n"/>
      <c r="H60" s="11" t="n"/>
    </row>
    <row r="61">
      <c r="A61" s="10" t="inlineStr">
        <is>
          <t>Phần 2</t>
        </is>
      </c>
      <c r="B61" s="9" t="n">
        <v>1</v>
      </c>
      <c r="C61" s="10" t="inlineStr">
        <is>
          <t>Bài đọc</t>
        </is>
      </c>
      <c r="D61" s="11" t="inlineStr">
        <is>
          <t>Kiến thức nền tảng</t>
        </is>
      </c>
      <c r="E61" s="9" t="inlineStr">
        <is>
          <t>Chưa</t>
        </is>
      </c>
      <c r="F61" s="21" t="n"/>
      <c r="G61" s="22" t="n"/>
      <c r="H61" s="11" t="n"/>
    </row>
    <row r="62">
      <c r="A62" s="10" t="inlineStr">
        <is>
          <t>Phần 2</t>
        </is>
      </c>
      <c r="B62" s="9" t="n">
        <v>1</v>
      </c>
      <c r="C62" s="10" t="inlineStr">
        <is>
          <t>Bài đọc</t>
        </is>
      </c>
      <c r="D62" s="11" t="inlineStr">
        <is>
          <t>Mục đích 1: Tìm và ngăn chặn bug từ sớm</t>
        </is>
      </c>
      <c r="E62" s="9" t="inlineStr">
        <is>
          <t>Chưa</t>
        </is>
      </c>
      <c r="F62" s="21" t="n"/>
      <c r="G62" s="22" t="n"/>
      <c r="H62" s="11" t="n"/>
    </row>
    <row r="63">
      <c r="A63" s="10" t="inlineStr">
        <is>
          <t>Phần 2</t>
        </is>
      </c>
      <c r="B63" s="9" t="n">
        <v>1</v>
      </c>
      <c r="C63" s="10" t="inlineStr">
        <is>
          <t>Bài đọc</t>
        </is>
      </c>
      <c r="D63" s="11" t="inlineStr">
        <is>
          <t>Mục đích 2: Chia sẻ kiến thức và học hỏi lẫn nhau</t>
        </is>
      </c>
      <c r="E63" s="9" t="inlineStr">
        <is>
          <t>Chưa</t>
        </is>
      </c>
      <c r="F63" s="21" t="n"/>
      <c r="G63" s="22" t="n"/>
      <c r="H63" s="11" t="n"/>
    </row>
    <row r="64">
      <c r="A64" s="10" t="inlineStr">
        <is>
          <t>Phần 2</t>
        </is>
      </c>
      <c r="B64" s="9" t="n">
        <v>1</v>
      </c>
      <c r="C64" s="10" t="inlineStr">
        <is>
          <t>Bài đọc</t>
        </is>
      </c>
      <c r="D64" s="11" t="inlineStr">
        <is>
          <t>Mục đích 3: Nâng cao chuẩn mực code chung</t>
        </is>
      </c>
      <c r="E64" s="9" t="inlineStr">
        <is>
          <t>Chưa</t>
        </is>
      </c>
      <c r="F64" s="21" t="n"/>
      <c r="G64" s="22" t="n"/>
      <c r="H64" s="11" t="n"/>
    </row>
    <row r="65">
      <c r="A65" s="10" t="inlineStr">
        <is>
          <t>Phần 2</t>
        </is>
      </c>
      <c r="B65" s="9" t="n">
        <v>1</v>
      </c>
      <c r="C65" s="10" t="inlineStr">
        <is>
          <t>Bài đọc</t>
        </is>
      </c>
      <c r="D65" s="11" t="inlineStr">
        <is>
          <t>Mục đích 4: Xây dựng quyền sở hữu tập thể</t>
        </is>
      </c>
      <c r="E65" s="9" t="inlineStr">
        <is>
          <t>Chưa</t>
        </is>
      </c>
      <c r="F65" s="21" t="n"/>
      <c r="G65" s="22" t="n"/>
      <c r="H65" s="11" t="n"/>
    </row>
    <row r="66">
      <c r="A66" s="10" t="inlineStr">
        <is>
          <t>Phần 2</t>
        </is>
      </c>
      <c r="B66" s="9" t="n">
        <v>1</v>
      </c>
      <c r="C66" s="10" t="inlineStr">
        <is>
          <t>Bài đọc</t>
        </is>
      </c>
      <c r="D66" s="11" t="inlineStr">
        <is>
          <t>Mục đích 5: Cải thiện chất lượng code tổng thể</t>
        </is>
      </c>
      <c r="E66" s="9" t="inlineStr">
        <is>
          <t>Chưa</t>
        </is>
      </c>
      <c r="F66" s="21" t="n"/>
      <c r="G66" s="22" t="n"/>
      <c r="H66" s="11" t="n"/>
    </row>
    <row r="67">
      <c r="A67" s="10" t="inlineStr">
        <is>
          <t>Phần 2</t>
        </is>
      </c>
      <c r="B67" s="9" t="n">
        <v>1</v>
      </c>
      <c r="C67" s="10" t="inlineStr">
        <is>
          <t>Bài đọc</t>
        </is>
      </c>
      <c r="D67" s="11" t="inlineStr">
        <is>
          <t>Lỗi thường gặp khi Code Review</t>
        </is>
      </c>
      <c r="E67" s="9" t="inlineStr">
        <is>
          <t>Chưa</t>
        </is>
      </c>
      <c r="F67" s="21" t="n"/>
      <c r="G67" s="22" t="n"/>
      <c r="H67" s="11" t="n"/>
    </row>
    <row r="68">
      <c r="A68" s="10" t="inlineStr">
        <is>
          <t>Phần 2</t>
        </is>
      </c>
      <c r="B68" s="9" t="n">
        <v>1</v>
      </c>
      <c r="C68" s="10" t="inlineStr">
        <is>
          <t>Bài đọc</t>
        </is>
      </c>
      <c r="D68" s="11" t="inlineStr">
        <is>
          <t>Best Practices cho Code Review hiệu quả</t>
        </is>
      </c>
      <c r="E68" s="9" t="inlineStr">
        <is>
          <t>Chưa</t>
        </is>
      </c>
      <c r="F68" s="21" t="n"/>
      <c r="G68" s="22" t="n"/>
      <c r="H68" s="11" t="n"/>
    </row>
    <row r="69">
      <c r="A69" s="10" t="inlineStr">
        <is>
          <t>Phần 2</t>
        </is>
      </c>
      <c r="B69" s="9" t="n">
        <v>1</v>
      </c>
      <c r="C69" s="10" t="inlineStr">
        <is>
          <t>Bài đọc</t>
        </is>
      </c>
      <c r="D69" s="11" t="inlineStr">
        <is>
          <t>Tài liệu tham khảo</t>
        </is>
      </c>
      <c r="E69" s="9" t="inlineStr">
        <is>
          <t>Chưa</t>
        </is>
      </c>
      <c r="F69" s="21" t="n"/>
      <c r="G69" s="22" t="n"/>
      <c r="H69" s="11" t="n"/>
    </row>
    <row r="70">
      <c r="A70" s="10" t="inlineStr">
        <is>
          <t>Phần 2</t>
        </is>
      </c>
      <c r="B70" s="9" t="n">
        <v>1</v>
      </c>
      <c r="C70" s="10" t="inlineStr">
        <is>
          <t>Bài đọc</t>
        </is>
      </c>
      <c r="D70" s="11" t="inlineStr">
        <is>
          <t>Tổng kết</t>
        </is>
      </c>
      <c r="E70" s="9" t="inlineStr">
        <is>
          <t>Chưa</t>
        </is>
      </c>
      <c r="F70" s="21" t="n"/>
      <c r="G70" s="22" t="n"/>
      <c r="H70" s="11" t="n"/>
    </row>
    <row r="71">
      <c r="A71" s="10" t="inlineStr">
        <is>
          <t>Phần 2</t>
        </is>
      </c>
      <c r="B71" s="9" t="n">
        <v>1</v>
      </c>
      <c r="C71" s="10" t="inlineStr">
        <is>
          <t>Quiz</t>
        </is>
      </c>
      <c r="D71" s="11" t="inlineStr">
        <is>
          <t>Làm bài kiểm tra cuối bài</t>
        </is>
      </c>
      <c r="E71" s="9" t="inlineStr">
        <is>
          <t>Chưa</t>
        </is>
      </c>
      <c r="F71" s="21" t="n"/>
      <c r="G71" s="22" t="n"/>
      <c r="H71" s="11" t="n"/>
    </row>
    <row r="72">
      <c r="A72" s="16" t="inlineStr">
        <is>
          <t>Phần 2</t>
        </is>
      </c>
      <c r="B72" s="17" t="n">
        <v>2</v>
      </c>
      <c r="C72" s="16" t="inlineStr">
        <is>
          <t>BÀI HỌC</t>
        </is>
      </c>
      <c r="D72" s="18" t="inlineStr">
        <is>
          <t>Bài 6: Cho Feedback chất lượng — Cụ thể, mang tính xây dựng và tôn trọng</t>
        </is>
      </c>
      <c r="E72" s="17">
        <f>IF(G72=1,"Hoàn thành",IF(G72&gt;0,"Đang học","Chưa học"))</f>
        <v/>
      </c>
      <c r="F72" s="19" t="n"/>
      <c r="G72" s="20">
        <f>COUNTIF(E73:E84,"Xong")/COUNTA(E73:E84)</f>
        <v/>
      </c>
      <c r="H72" s="18" t="n"/>
    </row>
    <row r="73">
      <c r="A73" s="10" t="inlineStr">
        <is>
          <t>Phần 2</t>
        </is>
      </c>
      <c r="B73" s="9" t="n">
        <v>2</v>
      </c>
      <c r="C73" s="10" t="inlineStr">
        <is>
          <t>Bài đọc</t>
        </is>
      </c>
      <c r="D73" s="11" t="inlineStr">
        <is>
          <t>Giới thiệu</t>
        </is>
      </c>
      <c r="E73" s="9" t="inlineStr">
        <is>
          <t>Chưa</t>
        </is>
      </c>
      <c r="F73" s="21" t="n"/>
      <c r="G73" s="22" t="n"/>
      <c r="H73" s="11" t="n"/>
    </row>
    <row r="74">
      <c r="A74" s="10" t="inlineStr">
        <is>
          <t>Phần 2</t>
        </is>
      </c>
      <c r="B74" s="9" t="n">
        <v>2</v>
      </c>
      <c r="C74" s="10" t="inlineStr">
        <is>
          <t>Bài đọc</t>
        </is>
      </c>
      <c r="D74" s="11" t="inlineStr">
        <is>
          <t>Kiến thức cần có</t>
        </is>
      </c>
      <c r="E74" s="9" t="inlineStr">
        <is>
          <t>Chưa</t>
        </is>
      </c>
      <c r="F74" s="21" t="n"/>
      <c r="G74" s="22" t="n"/>
      <c r="H74" s="11" t="n"/>
    </row>
    <row r="75">
      <c r="A75" s="10" t="inlineStr">
        <is>
          <t>Phần 2</t>
        </is>
      </c>
      <c r="B75" s="9" t="n">
        <v>2</v>
      </c>
      <c r="C75" s="10" t="inlineStr">
        <is>
          <t>Bài đọc</t>
        </is>
      </c>
      <c r="D75" s="11" t="inlineStr">
        <is>
          <t>Nguyên tắc Vàng: Góp Ý Vào Code, Không Vào Con Người</t>
        </is>
      </c>
      <c r="E75" s="9" t="inlineStr">
        <is>
          <t>Chưa</t>
        </is>
      </c>
      <c r="F75" s="21" t="n"/>
      <c r="G75" s="22" t="n"/>
      <c r="H75" s="11" t="n"/>
    </row>
    <row r="76">
      <c r="A76" s="10" t="inlineStr">
        <is>
          <t>Phần 2</t>
        </is>
      </c>
      <c r="B76" s="9" t="n">
        <v>2</v>
      </c>
      <c r="C76" s="10" t="inlineStr">
        <is>
          <t>Bài đọc</t>
        </is>
      </c>
      <c r="D76" s="11" t="inlineStr">
        <is>
          <t>Cụ Thể Hóa Feedback: Nêu Rõ Lý Do</t>
        </is>
      </c>
      <c r="E76" s="9" t="inlineStr">
        <is>
          <t>Chưa</t>
        </is>
      </c>
      <c r="F76" s="21" t="n"/>
      <c r="G76" s="22" t="n"/>
      <c r="H76" s="11" t="n"/>
    </row>
    <row r="77">
      <c r="A77" s="10" t="inlineStr">
        <is>
          <t>Phần 2</t>
        </is>
      </c>
      <c r="B77" s="9" t="n">
        <v>2</v>
      </c>
      <c r="C77" s="10" t="inlineStr">
        <is>
          <t>Bài đọc</t>
        </is>
      </c>
      <c r="D77" s="11" t="inlineStr">
        <is>
          <t>Phân Biệt Yêu Cầu Bắt Buộc và Gợi Ý</t>
        </is>
      </c>
      <c r="E77" s="9" t="inlineStr">
        <is>
          <t>Chưa</t>
        </is>
      </c>
      <c r="F77" s="21" t="n"/>
      <c r="G77" s="22" t="n"/>
      <c r="H77" s="11" t="n"/>
    </row>
    <row r="78">
      <c r="A78" s="10" t="inlineStr">
        <is>
          <t>Phần 2</t>
        </is>
      </c>
      <c r="B78" s="9" t="n">
        <v>2</v>
      </c>
      <c r="C78" s="10" t="inlineStr">
        <is>
          <t>Bài đọc</t>
        </is>
      </c>
      <c r="D78" s="11" t="inlineStr">
        <is>
          <t>Kỹ Thuật Viết Feedback Tôn Trọng</t>
        </is>
      </c>
      <c r="E78" s="9" t="inlineStr">
        <is>
          <t>Chưa</t>
        </is>
      </c>
      <c r="F78" s="21" t="n"/>
      <c r="G78" s="22" t="n"/>
      <c r="H78" s="11" t="n"/>
    </row>
    <row r="79">
      <c r="A79" s="10" t="inlineStr">
        <is>
          <t>Phần 2</t>
        </is>
      </c>
      <c r="B79" s="9" t="n">
        <v>2</v>
      </c>
      <c r="C79" s="10" t="inlineStr">
        <is>
          <t>Bài đọc</t>
        </is>
      </c>
      <c r="D79" s="11" t="inlineStr">
        <is>
          <t>Xử Lý Các Tình Huống Khó</t>
        </is>
      </c>
      <c r="E79" s="9" t="inlineStr">
        <is>
          <t>Chưa</t>
        </is>
      </c>
      <c r="F79" s="21" t="n"/>
      <c r="G79" s="22" t="n"/>
      <c r="H79" s="11" t="n"/>
    </row>
    <row r="80">
      <c r="A80" s="10" t="inlineStr">
        <is>
          <t>Phần 2</t>
        </is>
      </c>
      <c r="B80" s="9" t="n">
        <v>2</v>
      </c>
      <c r="C80" s="10" t="inlineStr">
        <is>
          <t>Bài đọc</t>
        </is>
      </c>
      <c r="D80" s="11" t="inlineStr">
        <is>
          <t>Lỗi Thường Gặp</t>
        </is>
      </c>
      <c r="E80" s="9" t="inlineStr">
        <is>
          <t>Chưa</t>
        </is>
      </c>
      <c r="F80" s="21" t="n"/>
      <c r="G80" s="22" t="n"/>
      <c r="H80" s="11" t="n"/>
    </row>
    <row r="81">
      <c r="A81" s="10" t="inlineStr">
        <is>
          <t>Phần 2</t>
        </is>
      </c>
      <c r="B81" s="9" t="n">
        <v>2</v>
      </c>
      <c r="C81" s="10" t="inlineStr">
        <is>
          <t>Bài đọc</t>
        </is>
      </c>
      <c r="D81" s="11" t="inlineStr">
        <is>
          <t>Best Practices</t>
        </is>
      </c>
      <c r="E81" s="9" t="inlineStr">
        <is>
          <t>Chưa</t>
        </is>
      </c>
      <c r="F81" s="21" t="n"/>
      <c r="G81" s="22" t="n"/>
      <c r="H81" s="11" t="n"/>
    </row>
    <row r="82">
      <c r="A82" s="10" t="inlineStr">
        <is>
          <t>Phần 2</t>
        </is>
      </c>
      <c r="B82" s="9" t="n">
        <v>2</v>
      </c>
      <c r="C82" s="10" t="inlineStr">
        <is>
          <t>Bài đọc</t>
        </is>
      </c>
      <c r="D82" s="11" t="inlineStr">
        <is>
          <t>References</t>
        </is>
      </c>
      <c r="E82" s="9" t="inlineStr">
        <is>
          <t>Chưa</t>
        </is>
      </c>
      <c r="F82" s="21" t="n"/>
      <c r="G82" s="22" t="n"/>
      <c r="H82" s="11" t="n"/>
    </row>
    <row r="83">
      <c r="A83" s="10" t="inlineStr">
        <is>
          <t>Phần 2</t>
        </is>
      </c>
      <c r="B83" s="9" t="n">
        <v>2</v>
      </c>
      <c r="C83" s="10" t="inlineStr">
        <is>
          <t>Bài đọc</t>
        </is>
      </c>
      <c r="D83" s="11" t="inlineStr">
        <is>
          <t>Tổng kết</t>
        </is>
      </c>
      <c r="E83" s="9" t="inlineStr">
        <is>
          <t>Chưa</t>
        </is>
      </c>
      <c r="F83" s="21" t="n"/>
      <c r="G83" s="22" t="n"/>
      <c r="H83" s="11" t="n"/>
    </row>
    <row r="84">
      <c r="A84" s="10" t="inlineStr">
        <is>
          <t>Phần 2</t>
        </is>
      </c>
      <c r="B84" s="9" t="n">
        <v>2</v>
      </c>
      <c r="C84" s="10" t="inlineStr">
        <is>
          <t>Quiz</t>
        </is>
      </c>
      <c r="D84" s="11" t="inlineStr">
        <is>
          <t>Làm bài kiểm tra cuối bài</t>
        </is>
      </c>
      <c r="E84" s="9" t="inlineStr">
        <is>
          <t>Chưa</t>
        </is>
      </c>
      <c r="F84" s="21" t="n"/>
      <c r="G84" s="22" t="n"/>
      <c r="H84" s="11" t="n"/>
    </row>
    <row r="85">
      <c r="A85" s="16" t="inlineStr">
        <is>
          <t>Phần 2</t>
        </is>
      </c>
      <c r="B85" s="17" t="n">
        <v>3</v>
      </c>
      <c r="C85" s="16" t="inlineStr">
        <is>
          <t>BÀI HỌC</t>
        </is>
      </c>
      <c r="D85" s="18" t="inlineStr">
        <is>
          <t>Bài 7: Nhận Feedback &amp; Review Code của người khác — Tâm thế cởi mở</t>
        </is>
      </c>
      <c r="E85" s="17">
        <f>IF(G85=1,"Hoàn thành",IF(G85&gt;0,"Đang học","Chưa học"))</f>
        <v/>
      </c>
      <c r="F85" s="19" t="n"/>
      <c r="G85" s="20">
        <f>COUNTIF(E86:E97,"Xong")/COUNTA(E86:E97)</f>
        <v/>
      </c>
      <c r="H85" s="18" t="n"/>
    </row>
    <row r="86">
      <c r="A86" s="10" t="inlineStr">
        <is>
          <t>Phần 2</t>
        </is>
      </c>
      <c r="B86" s="9" t="n">
        <v>3</v>
      </c>
      <c r="C86" s="10" t="inlineStr">
        <is>
          <t>Bài đọc</t>
        </is>
      </c>
      <c r="D86" s="11" t="inlineStr">
        <is>
          <t>Giới thiệu</t>
        </is>
      </c>
      <c r="E86" s="9" t="inlineStr">
        <is>
          <t>Chưa</t>
        </is>
      </c>
      <c r="F86" s="21" t="n"/>
      <c r="G86" s="22" t="n"/>
      <c r="H86" s="11" t="n"/>
    </row>
    <row r="87">
      <c r="A87" s="10" t="inlineStr">
        <is>
          <t>Phần 2</t>
        </is>
      </c>
      <c r="B87" s="9" t="n">
        <v>3</v>
      </c>
      <c r="C87" s="10" t="inlineStr">
        <is>
          <t>Bài đọc</t>
        </is>
      </c>
      <c r="D87" s="11" t="inlineStr">
        <is>
          <t>Kiến thức nền tảng</t>
        </is>
      </c>
      <c r="E87" s="9" t="inlineStr">
        <is>
          <t>Chưa</t>
        </is>
      </c>
      <c r="F87" s="21" t="n"/>
      <c r="G87" s="22" t="n"/>
      <c r="H87" s="11" t="n"/>
    </row>
    <row r="88">
      <c r="A88" s="10" t="inlineStr">
        <is>
          <t>Phần 2</t>
        </is>
      </c>
      <c r="B88" s="9" t="n">
        <v>3</v>
      </c>
      <c r="C88" s="10" t="inlineStr">
        <is>
          <t>Bài đọc</t>
        </is>
      </c>
      <c r="D88" s="11" t="inlineStr">
        <is>
          <t>Tâm thế cởi mở: Chìa khóa để nhận feedback hiệu quả</t>
        </is>
      </c>
      <c r="E88" s="9" t="inlineStr">
        <is>
          <t>Chưa</t>
        </is>
      </c>
      <c r="F88" s="21" t="n"/>
      <c r="G88" s="22" t="n"/>
      <c r="H88" s="11" t="n"/>
    </row>
    <row r="89">
      <c r="A89" s="10" t="inlineStr">
        <is>
          <t>Phần 2</t>
        </is>
      </c>
      <c r="B89" s="9" t="n">
        <v>3</v>
      </c>
      <c r="C89" s="10" t="inlineStr">
        <is>
          <t>Bài đọc</t>
        </is>
      </c>
      <c r="D89" s="11" t="inlineStr">
        <is>
          <t>Đọc code của người khác với thái độ học hỏi</t>
        </is>
      </c>
      <c r="E89" s="9" t="inlineStr">
        <is>
          <t>Chưa</t>
        </is>
      </c>
      <c r="F89" s="21" t="n"/>
      <c r="G89" s="22" t="n"/>
      <c r="H89" s="11" t="n"/>
    </row>
    <row r="90">
      <c r="A90" s="10" t="inlineStr">
        <is>
          <t>Phần 2</t>
        </is>
      </c>
      <c r="B90" s="9" t="n">
        <v>3</v>
      </c>
      <c r="C90" s="10" t="inlineStr">
        <is>
          <t>Bài đọc</t>
        </is>
      </c>
      <c r="D90" s="11" t="inlineStr">
        <is>
          <t>Kỹ thuật đặt câu hỏi và phản hồi trong code review</t>
        </is>
      </c>
      <c r="E90" s="9" t="inlineStr">
        <is>
          <t>Chưa</t>
        </is>
      </c>
      <c r="F90" s="21" t="n"/>
      <c r="G90" s="22" t="n"/>
      <c r="H90" s="11" t="n"/>
    </row>
    <row r="91">
      <c r="A91" s="10" t="inlineStr">
        <is>
          <t>Phần 2</t>
        </is>
      </c>
      <c r="B91" s="9" t="n">
        <v>3</v>
      </c>
      <c r="C91" s="10" t="inlineStr">
        <is>
          <t>Bài đọc</t>
        </is>
      </c>
      <c r="D91" s="11" t="inlineStr">
        <is>
          <t>Xử lý các tình huống khó khăn trong code review</t>
        </is>
      </c>
      <c r="E91" s="9" t="inlineStr">
        <is>
          <t>Chưa</t>
        </is>
      </c>
      <c r="F91" s="21" t="n"/>
      <c r="G91" s="22" t="n"/>
      <c r="H91" s="11" t="n"/>
    </row>
    <row r="92">
      <c r="A92" s="10" t="inlineStr">
        <is>
          <t>Phần 2</t>
        </is>
      </c>
      <c r="B92" s="9" t="n">
        <v>3</v>
      </c>
      <c r="C92" s="10" t="inlineStr">
        <is>
          <t>Bài đọc</t>
        </is>
      </c>
      <c r="D92" s="11" t="inlineStr">
        <is>
          <t>Lợi ích của việc review code thường xuyên</t>
        </is>
      </c>
      <c r="E92" s="9" t="inlineStr">
        <is>
          <t>Chưa</t>
        </is>
      </c>
      <c r="F92" s="21" t="n"/>
      <c r="G92" s="22" t="n"/>
      <c r="H92" s="11" t="n"/>
    </row>
    <row r="93">
      <c r="A93" s="10" t="inlineStr">
        <is>
          <t>Phần 2</t>
        </is>
      </c>
      <c r="B93" s="9" t="n">
        <v>3</v>
      </c>
      <c r="C93" s="10" t="inlineStr">
        <is>
          <t>Bài đọc</t>
        </is>
      </c>
      <c r="D93" s="11" t="inlineStr">
        <is>
          <t>Các lỗi thường gặp</t>
        </is>
      </c>
      <c r="E93" s="9" t="inlineStr">
        <is>
          <t>Chưa</t>
        </is>
      </c>
      <c r="F93" s="21" t="n"/>
      <c r="G93" s="22" t="n"/>
      <c r="H93" s="11" t="n"/>
    </row>
    <row r="94">
      <c r="A94" s="10" t="inlineStr">
        <is>
          <t>Phần 2</t>
        </is>
      </c>
      <c r="B94" s="9" t="n">
        <v>3</v>
      </c>
      <c r="C94" s="10" t="inlineStr">
        <is>
          <t>Bài đọc</t>
        </is>
      </c>
      <c r="D94" s="11" t="inlineStr">
        <is>
          <t>Best Practices</t>
        </is>
      </c>
      <c r="E94" s="9" t="inlineStr">
        <is>
          <t>Chưa</t>
        </is>
      </c>
      <c r="F94" s="21" t="n"/>
      <c r="G94" s="22" t="n"/>
      <c r="H94" s="11" t="n"/>
    </row>
    <row r="95">
      <c r="A95" s="10" t="inlineStr">
        <is>
          <t>Phần 2</t>
        </is>
      </c>
      <c r="B95" s="9" t="n">
        <v>3</v>
      </c>
      <c r="C95" s="10" t="inlineStr">
        <is>
          <t>Bài đọc</t>
        </is>
      </c>
      <c r="D95" s="11" t="inlineStr">
        <is>
          <t>Tài liệu tham khảo</t>
        </is>
      </c>
      <c r="E95" s="9" t="inlineStr">
        <is>
          <t>Chưa</t>
        </is>
      </c>
      <c r="F95" s="21" t="n"/>
      <c r="G95" s="22" t="n"/>
      <c r="H95" s="11" t="n"/>
    </row>
    <row r="96">
      <c r="A96" s="10" t="inlineStr">
        <is>
          <t>Phần 2</t>
        </is>
      </c>
      <c r="B96" s="9" t="n">
        <v>3</v>
      </c>
      <c r="C96" s="10" t="inlineStr">
        <is>
          <t>Bài đọc</t>
        </is>
      </c>
      <c r="D96" s="11" t="inlineStr">
        <is>
          <t>Tổng kết</t>
        </is>
      </c>
      <c r="E96" s="9" t="inlineStr">
        <is>
          <t>Chưa</t>
        </is>
      </c>
      <c r="F96" s="21" t="n"/>
      <c r="G96" s="22" t="n"/>
      <c r="H96" s="11" t="n"/>
    </row>
    <row r="97">
      <c r="A97" s="10" t="inlineStr">
        <is>
          <t>Phần 2</t>
        </is>
      </c>
      <c r="B97" s="9" t="n">
        <v>3</v>
      </c>
      <c r="C97" s="10" t="inlineStr">
        <is>
          <t>Quiz</t>
        </is>
      </c>
      <c r="D97" s="11" t="inlineStr">
        <is>
          <t>Làm bài kiểm tra cuối bài</t>
        </is>
      </c>
      <c r="E97" s="9" t="inlineStr">
        <is>
          <t>Chưa</t>
        </is>
      </c>
      <c r="F97" s="21" t="n"/>
      <c r="G97" s="22" t="n"/>
      <c r="H97" s="11" t="n"/>
    </row>
    <row r="98">
      <c r="A98" s="16" t="inlineStr">
        <is>
          <t>Phần 2</t>
        </is>
      </c>
      <c r="B98" s="17" t="n">
        <v>4</v>
      </c>
      <c r="C98" s="16" t="inlineStr">
        <is>
          <t>BÀI HỌC</t>
        </is>
      </c>
      <c r="D98" s="18" t="inlineStr">
        <is>
          <t>Bài 8: Quy trình &amp; Văn hóa Code Review — Định nghĩa chuẩn, tránh Nitpick</t>
        </is>
      </c>
      <c r="E98" s="17">
        <f>IF(G98=1,"Hoàn thành",IF(G98&gt;0,"Đang học","Chưa học"))</f>
        <v/>
      </c>
      <c r="F98" s="19" t="n"/>
      <c r="G98" s="20">
        <f>COUNTIF(E99:E110,"Xong")/COUNTA(E99:E110)</f>
        <v/>
      </c>
      <c r="H98" s="18" t="n"/>
    </row>
    <row r="99">
      <c r="A99" s="10" t="inlineStr">
        <is>
          <t>Phần 2</t>
        </is>
      </c>
      <c r="B99" s="9" t="n">
        <v>4</v>
      </c>
      <c r="C99" s="10" t="inlineStr">
        <is>
          <t>Bài đọc</t>
        </is>
      </c>
      <c r="D99" s="11" t="inlineStr">
        <is>
          <t>Giới thiệu</t>
        </is>
      </c>
      <c r="E99" s="9" t="inlineStr">
        <is>
          <t>Chưa</t>
        </is>
      </c>
      <c r="F99" s="21" t="n"/>
      <c r="G99" s="22" t="n"/>
      <c r="H99" s="11" t="n"/>
    </row>
    <row r="100">
      <c r="A100" s="10" t="inlineStr">
        <is>
          <t>Phần 2</t>
        </is>
      </c>
      <c r="B100" s="9" t="n">
        <v>4</v>
      </c>
      <c r="C100" s="10" t="inlineStr">
        <is>
          <t>Bài đọc</t>
        </is>
      </c>
      <c r="D100" s="11" t="inlineStr">
        <is>
          <t>Kiến thức nền tảng</t>
        </is>
      </c>
      <c r="E100" s="9" t="inlineStr">
        <is>
          <t>Chưa</t>
        </is>
      </c>
      <c r="F100" s="21" t="n"/>
      <c r="G100" s="22" t="n"/>
      <c r="H100" s="11" t="n"/>
    </row>
    <row r="101">
      <c r="A101" s="10" t="inlineStr">
        <is>
          <t>Phần 2</t>
        </is>
      </c>
      <c r="B101" s="9" t="n">
        <v>4</v>
      </c>
      <c r="C101" s="10" t="inlineStr">
        <is>
          <t>Bài đọc</t>
        </is>
      </c>
      <c r="D101" s="11" t="inlineStr">
        <is>
          <t>1. Tại sao cần một quy trình Code Review chuẩn?</t>
        </is>
      </c>
      <c r="E101" s="9" t="inlineStr">
        <is>
          <t>Chưa</t>
        </is>
      </c>
      <c r="F101" s="21" t="n"/>
      <c r="G101" s="22" t="n"/>
      <c r="H101" s="11" t="n"/>
    </row>
    <row r="102">
      <c r="A102" s="10" t="inlineStr">
        <is>
          <t>Phần 2</t>
        </is>
      </c>
      <c r="B102" s="9" t="n">
        <v>4</v>
      </c>
      <c r="C102" s="10" t="inlineStr">
        <is>
          <t>Bài đọc</t>
        </is>
      </c>
      <c r="D102" s="11" t="inlineStr">
        <is>
          <t>2. Thiết lập quy ước review nhất quán</t>
        </is>
      </c>
      <c r="E102" s="9" t="inlineStr">
        <is>
          <t>Chưa</t>
        </is>
      </c>
      <c r="F102" s="21" t="n"/>
      <c r="G102" s="22" t="n"/>
      <c r="H102" s="11" t="n"/>
    </row>
    <row r="103">
      <c r="A103" s="10" t="inlineStr">
        <is>
          <t>Phần 2</t>
        </is>
      </c>
      <c r="B103" s="9" t="n">
        <v>4</v>
      </c>
      <c r="C103" s="10" t="inlineStr">
        <is>
          <t>Bài đọc</t>
        </is>
      </c>
      <c r="D103" s="11" t="inlineStr">
        <is>
          <t>3. Tự động hóa: Cái máy làm việc máy</t>
        </is>
      </c>
      <c r="E103" s="9" t="inlineStr">
        <is>
          <t>Chưa</t>
        </is>
      </c>
      <c r="F103" s="21" t="n"/>
      <c r="G103" s="22" t="n"/>
      <c r="H103" s="11" t="n"/>
    </row>
    <row r="104">
      <c r="A104" s="10" t="inlineStr">
        <is>
          <t>Phần 2</t>
        </is>
      </c>
      <c r="B104" s="9" t="n">
        <v>4</v>
      </c>
      <c r="C104" s="10" t="inlineStr">
        <is>
          <t>Bài đọc</t>
        </is>
      </c>
      <c r="D104" s="11" t="inlineStr">
        <is>
          <t>4. Văn hóa Code Review: Tôn trọng và Học hỏi</t>
        </is>
      </c>
      <c r="E104" s="9" t="inlineStr">
        <is>
          <t>Chưa</t>
        </is>
      </c>
      <c r="F104" s="21" t="n"/>
      <c r="G104" s="22" t="n"/>
      <c r="H104" s="11" t="n"/>
    </row>
    <row r="105">
      <c r="A105" s="10" t="inlineStr">
        <is>
          <t>Phần 2</t>
        </is>
      </c>
      <c r="B105" s="9" t="n">
        <v>4</v>
      </c>
      <c r="C105" s="10" t="inlineStr">
        <is>
          <t>Bài đọc</t>
        </is>
      </c>
      <c r="D105" s="11" t="inlineStr">
        <is>
          <t>5. Tránh Nitpick: Kỹ thuật và Tư duy</t>
        </is>
      </c>
      <c r="E105" s="9" t="inlineStr">
        <is>
          <t>Chưa</t>
        </is>
      </c>
      <c r="F105" s="21" t="n"/>
      <c r="G105" s="22" t="n"/>
      <c r="H105" s="11" t="n"/>
    </row>
    <row r="106">
      <c r="A106" s="10" t="inlineStr">
        <is>
          <t>Phần 2</t>
        </is>
      </c>
      <c r="B106" s="9" t="n">
        <v>4</v>
      </c>
      <c r="C106" s="10" t="inlineStr">
        <is>
          <t>Bài đọc</t>
        </is>
      </c>
      <c r="D106" s="11" t="inlineStr">
        <is>
          <t>Lỗi thường gặp</t>
        </is>
      </c>
      <c r="E106" s="9" t="inlineStr">
        <is>
          <t>Chưa</t>
        </is>
      </c>
      <c r="F106" s="21" t="n"/>
      <c r="G106" s="22" t="n"/>
      <c r="H106" s="11" t="n"/>
    </row>
    <row r="107">
      <c r="A107" s="10" t="inlineStr">
        <is>
          <t>Phần 2</t>
        </is>
      </c>
      <c r="B107" s="9" t="n">
        <v>4</v>
      </c>
      <c r="C107" s="10" t="inlineStr">
        <is>
          <t>Bài đọc</t>
        </is>
      </c>
      <c r="D107" s="11" t="inlineStr">
        <is>
          <t>Thực hành tốt nhất</t>
        </is>
      </c>
      <c r="E107" s="9" t="inlineStr">
        <is>
          <t>Chưa</t>
        </is>
      </c>
      <c r="F107" s="21" t="n"/>
      <c r="G107" s="22" t="n"/>
      <c r="H107" s="11" t="n"/>
    </row>
    <row r="108">
      <c r="A108" s="10" t="inlineStr">
        <is>
          <t>Phần 2</t>
        </is>
      </c>
      <c r="B108" s="9" t="n">
        <v>4</v>
      </c>
      <c r="C108" s="10" t="inlineStr">
        <is>
          <t>Bài đọc</t>
        </is>
      </c>
      <c r="D108" s="11" t="inlineStr">
        <is>
          <t>Tài liệu tham khảo</t>
        </is>
      </c>
      <c r="E108" s="9" t="inlineStr">
        <is>
          <t>Chưa</t>
        </is>
      </c>
      <c r="F108" s="21" t="n"/>
      <c r="G108" s="22" t="n"/>
      <c r="H108" s="11" t="n"/>
    </row>
    <row r="109">
      <c r="A109" s="10" t="inlineStr">
        <is>
          <t>Phần 2</t>
        </is>
      </c>
      <c r="B109" s="9" t="n">
        <v>4</v>
      </c>
      <c r="C109" s="10" t="inlineStr">
        <is>
          <t>Bài đọc</t>
        </is>
      </c>
      <c r="D109" s="11" t="inlineStr">
        <is>
          <t>Tóm tắt</t>
        </is>
      </c>
      <c r="E109" s="9" t="inlineStr">
        <is>
          <t>Chưa</t>
        </is>
      </c>
      <c r="F109" s="21" t="n"/>
      <c r="G109" s="22" t="n"/>
      <c r="H109" s="11" t="n"/>
    </row>
    <row r="110">
      <c r="A110" s="10" t="inlineStr">
        <is>
          <t>Phần 2</t>
        </is>
      </c>
      <c r="B110" s="9" t="n">
        <v>4</v>
      </c>
      <c r="C110" s="10" t="inlineStr">
        <is>
          <t>Quiz</t>
        </is>
      </c>
      <c r="D110" s="11" t="inlineStr">
        <is>
          <t>Làm bài kiểm tra cuối bài</t>
        </is>
      </c>
      <c r="E110" s="9" t="inlineStr">
        <is>
          <t>Chưa</t>
        </is>
      </c>
      <c r="F110" s="21" t="n"/>
      <c r="G110" s="22" t="n"/>
      <c r="H110" s="11" t="n"/>
    </row>
    <row r="111">
      <c r="A111" s="8" t="inlineStr">
        <is>
          <t>Phần 3: Mentoring &amp; Phát triển Đội ngũ</t>
        </is>
      </c>
      <c r="B111" s="9" t="n"/>
      <c r="C111" s="10" t="n"/>
      <c r="D111" s="11" t="n"/>
      <c r="E111" s="12" t="n"/>
      <c r="F111" s="13" t="n"/>
      <c r="G111" s="14">
        <f>COUNTIF(E113:E163,"Xong")/COUNTA(E113:E163)</f>
        <v/>
      </c>
      <c r="H111" s="15" t="n"/>
    </row>
    <row r="112">
      <c r="A112" s="16" t="inlineStr">
        <is>
          <t>Phần 3</t>
        </is>
      </c>
      <c r="B112" s="17" t="n">
        <v>1</v>
      </c>
      <c r="C112" s="16" t="inlineStr">
        <is>
          <t>BÀI HỌC</t>
        </is>
      </c>
      <c r="D112" s="18" t="inlineStr">
        <is>
          <t>Bài 9: Mentoring là gì — Khác Coaching và vai trò của người Mentor</t>
        </is>
      </c>
      <c r="E112" s="17">
        <f>IF(G112=1,"Hoàn thành",IF(G112&gt;0,"Đang học","Chưa học"))</f>
        <v/>
      </c>
      <c r="F112" s="19" t="n"/>
      <c r="G112" s="20">
        <f>COUNTIF(E113:E123,"Xong")/COUNTA(E113:E123)</f>
        <v/>
      </c>
      <c r="H112" s="18" t="n"/>
    </row>
    <row r="113">
      <c r="A113" s="10" t="inlineStr">
        <is>
          <t>Phần 3</t>
        </is>
      </c>
      <c r="B113" s="9" t="n">
        <v>1</v>
      </c>
      <c r="C113" s="10" t="inlineStr">
        <is>
          <t>Bài đọc</t>
        </is>
      </c>
      <c r="D113" s="11" t="inlineStr">
        <is>
          <t>Giới thiệu</t>
        </is>
      </c>
      <c r="E113" s="9" t="inlineStr">
        <is>
          <t>Chưa</t>
        </is>
      </c>
      <c r="F113" s="21" t="n"/>
      <c r="G113" s="22" t="n"/>
      <c r="H113" s="11" t="n"/>
    </row>
    <row r="114">
      <c r="A114" s="10" t="inlineStr">
        <is>
          <t>Phần 3</t>
        </is>
      </c>
      <c r="B114" s="9" t="n">
        <v>1</v>
      </c>
      <c r="C114" s="10" t="inlineStr">
        <is>
          <t>Bài đọc</t>
        </is>
      </c>
      <c r="D114" s="11" t="inlineStr">
        <is>
          <t>Kiến thức nền tảng</t>
        </is>
      </c>
      <c r="E114" s="9" t="inlineStr">
        <is>
          <t>Chưa</t>
        </is>
      </c>
      <c r="F114" s="21" t="n"/>
      <c r="G114" s="22" t="n"/>
      <c r="H114" s="11" t="n"/>
    </row>
    <row r="115">
      <c r="A115" s="10" t="inlineStr">
        <is>
          <t>Phần 3</t>
        </is>
      </c>
      <c r="B115" s="9" t="n">
        <v>1</v>
      </c>
      <c r="C115" s="10" t="inlineStr">
        <is>
          <t>Bài đọc</t>
        </is>
      </c>
      <c r="D115" s="11" t="inlineStr">
        <is>
          <t>Mentoring là gì? Định nghĩa và bản chất</t>
        </is>
      </c>
      <c r="E115" s="9" t="inlineStr">
        <is>
          <t>Chưa</t>
        </is>
      </c>
      <c r="F115" s="21" t="n"/>
      <c r="G115" s="22" t="n"/>
      <c r="H115" s="11" t="n"/>
    </row>
    <row r="116">
      <c r="A116" s="10" t="inlineStr">
        <is>
          <t>Phần 3</t>
        </is>
      </c>
      <c r="B116" s="9" t="n">
        <v>1</v>
      </c>
      <c r="C116" s="10" t="inlineStr">
        <is>
          <t>Bài đọc</t>
        </is>
      </c>
      <c r="D116" s="11" t="inlineStr">
        <is>
          <t>Mentoring vs Coaching: Sự khác biệt cốt lõi</t>
        </is>
      </c>
      <c r="E116" s="9" t="inlineStr">
        <is>
          <t>Chưa</t>
        </is>
      </c>
      <c r="F116" s="21" t="n"/>
      <c r="G116" s="22" t="n"/>
      <c r="H116" s="11" t="n"/>
    </row>
    <row r="117">
      <c r="A117" s="10" t="inlineStr">
        <is>
          <t>Phần 3</t>
        </is>
      </c>
      <c r="B117" s="9" t="n">
        <v>1</v>
      </c>
      <c r="C117" s="10" t="inlineStr">
        <is>
          <t>Bài đọc</t>
        </is>
      </c>
      <c r="D117" s="11" t="inlineStr">
        <is>
          <t>Vai trò của người Mentor: Người dẫn đường, không phải người làm thay</t>
        </is>
      </c>
      <c r="E117" s="9" t="inlineStr">
        <is>
          <t>Chưa</t>
        </is>
      </c>
      <c r="F117" s="21" t="n"/>
      <c r="G117" s="22" t="n"/>
      <c r="H117" s="11" t="n"/>
    </row>
    <row r="118">
      <c r="A118" s="10" t="inlineStr">
        <is>
          <t>Phần 3</t>
        </is>
      </c>
      <c r="B118" s="9" t="n">
        <v>1</v>
      </c>
      <c r="C118" s="10" t="inlineStr">
        <is>
          <t>Bài đọc</t>
        </is>
      </c>
      <c r="D118" s="11" t="inlineStr">
        <is>
          <t>Khi nào chỉ dẫn và khi nào đặt câu hỏi: Nghệ thuật cân bằng</t>
        </is>
      </c>
      <c r="E118" s="9" t="inlineStr">
        <is>
          <t>Chưa</t>
        </is>
      </c>
      <c r="F118" s="21" t="n"/>
      <c r="G118" s="22" t="n"/>
      <c r="H118" s="11" t="n"/>
    </row>
    <row r="119">
      <c r="A119" s="10" t="inlineStr">
        <is>
          <t>Phần 3</t>
        </is>
      </c>
      <c r="B119" s="9" t="n">
        <v>1</v>
      </c>
      <c r="C119" s="10" t="inlineStr">
        <is>
          <t>Bài đọc</t>
        </is>
      </c>
      <c r="D119" s="11" t="inlineStr">
        <is>
          <t>Các lỗi thường gặp khi làm Mentor</t>
        </is>
      </c>
      <c r="E119" s="9" t="inlineStr">
        <is>
          <t>Chưa</t>
        </is>
      </c>
      <c r="F119" s="21" t="n"/>
      <c r="G119" s="22" t="n"/>
      <c r="H119" s="11" t="n"/>
    </row>
    <row r="120">
      <c r="A120" s="10" t="inlineStr">
        <is>
          <t>Phần 3</t>
        </is>
      </c>
      <c r="B120" s="9" t="n">
        <v>1</v>
      </c>
      <c r="C120" s="10" t="inlineStr">
        <is>
          <t>Bài đọc</t>
        </is>
      </c>
      <c r="D120" s="11" t="inlineStr">
        <is>
          <t>Best Practices cho Mentoring năm 2026</t>
        </is>
      </c>
      <c r="E120" s="9" t="inlineStr">
        <is>
          <t>Chưa</t>
        </is>
      </c>
      <c r="F120" s="21" t="n"/>
      <c r="G120" s="22" t="n"/>
      <c r="H120" s="11" t="n"/>
    </row>
    <row r="121">
      <c r="A121" s="10" t="inlineStr">
        <is>
          <t>Phần 3</t>
        </is>
      </c>
      <c r="B121" s="9" t="n">
        <v>1</v>
      </c>
      <c r="C121" s="10" t="inlineStr">
        <is>
          <t>Bài đọc</t>
        </is>
      </c>
      <c r="D121" s="11" t="inlineStr">
        <is>
          <t>Tài liệu tham khảo</t>
        </is>
      </c>
      <c r="E121" s="9" t="inlineStr">
        <is>
          <t>Chưa</t>
        </is>
      </c>
      <c r="F121" s="21" t="n"/>
      <c r="G121" s="22" t="n"/>
      <c r="H121" s="11" t="n"/>
    </row>
    <row r="122">
      <c r="A122" s="10" t="inlineStr">
        <is>
          <t>Phần 3</t>
        </is>
      </c>
      <c r="B122" s="9" t="n">
        <v>1</v>
      </c>
      <c r="C122" s="10" t="inlineStr">
        <is>
          <t>Bài đọc</t>
        </is>
      </c>
      <c r="D122" s="11" t="inlineStr">
        <is>
          <t>Tổng kết</t>
        </is>
      </c>
      <c r="E122" s="9" t="inlineStr">
        <is>
          <t>Chưa</t>
        </is>
      </c>
      <c r="F122" s="21" t="n"/>
      <c r="G122" s="22" t="n"/>
      <c r="H122" s="11" t="n"/>
    </row>
    <row r="123">
      <c r="A123" s="10" t="inlineStr">
        <is>
          <t>Phần 3</t>
        </is>
      </c>
      <c r="B123" s="9" t="n">
        <v>1</v>
      </c>
      <c r="C123" s="10" t="inlineStr">
        <is>
          <t>Quiz</t>
        </is>
      </c>
      <c r="D123" s="11" t="inlineStr">
        <is>
          <t>Làm bài kiểm tra cuối bài</t>
        </is>
      </c>
      <c r="E123" s="9" t="inlineStr">
        <is>
          <t>Chưa</t>
        </is>
      </c>
      <c r="F123" s="21" t="n"/>
      <c r="G123" s="22" t="n"/>
      <c r="H123" s="11" t="n"/>
    </row>
    <row r="124">
      <c r="A124" s="16" t="inlineStr">
        <is>
          <t>Phần 3</t>
        </is>
      </c>
      <c r="B124" s="17" t="n">
        <v>2</v>
      </c>
      <c r="C124" s="16" t="inlineStr">
        <is>
          <t>BÀI HỌC</t>
        </is>
      </c>
      <c r="D124" s="18" t="inlineStr">
        <is>
          <t>Bài 10: Phát triển Junior Developer — Giao việc vừa sức, an toàn để sai</t>
        </is>
      </c>
      <c r="E124" s="17">
        <f>IF(G124=1,"Hoàn thành",IF(G124&gt;0,"Đang học","Chưa học"))</f>
        <v/>
      </c>
      <c r="F124" s="19" t="n"/>
      <c r="G124" s="20">
        <f>COUNTIF(E125:E136,"Xong")/COUNTA(E125:E136)</f>
        <v/>
      </c>
      <c r="H124" s="18" t="n"/>
    </row>
    <row r="125">
      <c r="A125" s="10" t="inlineStr">
        <is>
          <t>Phần 3</t>
        </is>
      </c>
      <c r="B125" s="9" t="n">
        <v>2</v>
      </c>
      <c r="C125" s="10" t="inlineStr">
        <is>
          <t>Bài đọc</t>
        </is>
      </c>
      <c r="D125" s="11" t="inlineStr">
        <is>
          <t>Giới thiệu</t>
        </is>
      </c>
      <c r="E125" s="9" t="inlineStr">
        <is>
          <t>Chưa</t>
        </is>
      </c>
      <c r="F125" s="21" t="n"/>
      <c r="G125" s="22" t="n"/>
      <c r="H125" s="11" t="n"/>
    </row>
    <row r="126">
      <c r="A126" s="10" t="inlineStr">
        <is>
          <t>Phần 3</t>
        </is>
      </c>
      <c r="B126" s="9" t="n">
        <v>2</v>
      </c>
      <c r="C126" s="10" t="inlineStr">
        <is>
          <t>Bài đọc</t>
        </is>
      </c>
      <c r="D126" s="11" t="inlineStr">
        <is>
          <t>Prerequisites</t>
        </is>
      </c>
      <c r="E126" s="9" t="inlineStr">
        <is>
          <t>Chưa</t>
        </is>
      </c>
      <c r="F126" s="21" t="n"/>
      <c r="G126" s="22" t="n"/>
      <c r="H126" s="11" t="n"/>
    </row>
    <row r="127">
      <c r="A127" s="10" t="inlineStr">
        <is>
          <t>Phần 3</t>
        </is>
      </c>
      <c r="B127" s="9" t="n">
        <v>2</v>
      </c>
      <c r="C127" s="10" t="inlineStr">
        <is>
          <t>Bài đọc</t>
        </is>
      </c>
      <c r="D127" s="11" t="inlineStr">
        <is>
          <t>1. Hiểu về "Môi trường an toàn tâm lý" (Psychological Safety)</t>
        </is>
      </c>
      <c r="E127" s="9" t="inlineStr">
        <is>
          <t>Chưa</t>
        </is>
      </c>
      <c r="F127" s="21" t="n"/>
      <c r="G127" s="22" t="n"/>
      <c r="H127" s="11" t="n"/>
    </row>
    <row r="128">
      <c r="A128" s="10" t="inlineStr">
        <is>
          <t>Phần 3</t>
        </is>
      </c>
      <c r="B128" s="9" t="n">
        <v>2</v>
      </c>
      <c r="C128" s="10" t="inlineStr">
        <is>
          <t>Bài đọc</t>
        </is>
      </c>
      <c r="D128" s="11" t="inlineStr">
        <is>
          <t>2. Xác định mức độ phù hợp của công việc (Task Sizing)</t>
        </is>
      </c>
      <c r="E128" s="9" t="inlineStr">
        <is>
          <t>Chưa</t>
        </is>
      </c>
      <c r="F128" s="21" t="n"/>
      <c r="G128" s="22" t="n"/>
      <c r="H128" s="11" t="n"/>
    </row>
    <row r="129">
      <c r="A129" s="10" t="inlineStr">
        <is>
          <t>Phần 3</t>
        </is>
      </c>
      <c r="B129" s="9" t="n">
        <v>2</v>
      </c>
      <c r="C129" s="10" t="inlineStr">
        <is>
          <t>Bài đọc</t>
        </is>
      </c>
      <c r="D129" s="11" t="inlineStr">
        <is>
          <t>3. Quy trình Feedback mang tính xây dựng</t>
        </is>
      </c>
      <c r="E129" s="9" t="inlineStr">
        <is>
          <t>Chưa</t>
        </is>
      </c>
      <c r="F129" s="21" t="n"/>
      <c r="G129" s="22" t="n"/>
      <c r="H129" s="11" t="n"/>
    </row>
    <row r="130">
      <c r="A130" s="10" t="inlineStr">
        <is>
          <t>Phần 3</t>
        </is>
      </c>
      <c r="B130" s="9" t="n">
        <v>2</v>
      </c>
      <c r="C130" s="10" t="inlineStr">
        <is>
          <t>Bài đọc</t>
        </is>
      </c>
      <c r="D130" s="11" t="inlineStr">
        <is>
          <t>4. Kỹ thuật "Scaffolding" — Hỗ trợ đúng lúc, đúng mức</t>
        </is>
      </c>
      <c r="E130" s="9" t="inlineStr">
        <is>
          <t>Chưa</t>
        </is>
      </c>
      <c r="F130" s="21" t="n"/>
      <c r="G130" s="22" t="n"/>
      <c r="H130" s="11" t="n"/>
    </row>
    <row r="131">
      <c r="A131" s="10" t="inlineStr">
        <is>
          <t>Phần 3</t>
        </is>
      </c>
      <c r="B131" s="9" t="n">
        <v>2</v>
      </c>
      <c r="C131" s="10" t="inlineStr">
        <is>
          <t>Bài đọc</t>
        </is>
      </c>
      <c r="D131" s="11" t="inlineStr">
        <is>
          <t>5. Xử lý tình huống Junior mắc lỗi nghiêm trọng</t>
        </is>
      </c>
      <c r="E131" s="9" t="inlineStr">
        <is>
          <t>Chưa</t>
        </is>
      </c>
      <c r="F131" s="21" t="n"/>
      <c r="G131" s="22" t="n"/>
      <c r="H131" s="11" t="n"/>
    </row>
    <row r="132">
      <c r="A132" s="10" t="inlineStr">
        <is>
          <t>Phần 3</t>
        </is>
      </c>
      <c r="B132" s="9" t="n">
        <v>2</v>
      </c>
      <c r="C132" s="10" t="inlineStr">
        <is>
          <t>Bài đọc</t>
        </is>
      </c>
      <c r="D132" s="11" t="inlineStr">
        <is>
          <t>Common Mistakes</t>
        </is>
      </c>
      <c r="E132" s="9" t="inlineStr">
        <is>
          <t>Chưa</t>
        </is>
      </c>
      <c r="F132" s="21" t="n"/>
      <c r="G132" s="22" t="n"/>
      <c r="H132" s="11" t="n"/>
    </row>
    <row r="133">
      <c r="A133" s="10" t="inlineStr">
        <is>
          <t>Phần 3</t>
        </is>
      </c>
      <c r="B133" s="9" t="n">
        <v>2</v>
      </c>
      <c r="C133" s="10" t="inlineStr">
        <is>
          <t>Bài đọc</t>
        </is>
      </c>
      <c r="D133" s="11" t="inlineStr">
        <is>
          <t>Best Practices</t>
        </is>
      </c>
      <c r="E133" s="9" t="inlineStr">
        <is>
          <t>Chưa</t>
        </is>
      </c>
      <c r="F133" s="21" t="n"/>
      <c r="G133" s="22" t="n"/>
      <c r="H133" s="11" t="n"/>
    </row>
    <row r="134">
      <c r="A134" s="10" t="inlineStr">
        <is>
          <t>Phần 3</t>
        </is>
      </c>
      <c r="B134" s="9" t="n">
        <v>2</v>
      </c>
      <c r="C134" s="10" t="inlineStr">
        <is>
          <t>Bài đọc</t>
        </is>
      </c>
      <c r="D134" s="11" t="inlineStr">
        <is>
          <t>References</t>
        </is>
      </c>
      <c r="E134" s="9" t="inlineStr">
        <is>
          <t>Chưa</t>
        </is>
      </c>
      <c r="F134" s="21" t="n"/>
      <c r="G134" s="22" t="n"/>
      <c r="H134" s="11" t="n"/>
    </row>
    <row r="135">
      <c r="A135" s="10" t="inlineStr">
        <is>
          <t>Phần 3</t>
        </is>
      </c>
      <c r="B135" s="9" t="n">
        <v>2</v>
      </c>
      <c r="C135" s="10" t="inlineStr">
        <is>
          <t>Bài đọc</t>
        </is>
      </c>
      <c r="D135" s="11" t="inlineStr">
        <is>
          <t>Summary</t>
        </is>
      </c>
      <c r="E135" s="9" t="inlineStr">
        <is>
          <t>Chưa</t>
        </is>
      </c>
      <c r="F135" s="21" t="n"/>
      <c r="G135" s="22" t="n"/>
      <c r="H135" s="11" t="n"/>
    </row>
    <row r="136">
      <c r="A136" s="10" t="inlineStr">
        <is>
          <t>Phần 3</t>
        </is>
      </c>
      <c r="B136" s="9" t="n">
        <v>2</v>
      </c>
      <c r="C136" s="10" t="inlineStr">
        <is>
          <t>Quiz</t>
        </is>
      </c>
      <c r="D136" s="11" t="inlineStr">
        <is>
          <t>Làm bài kiểm tra cuối bài</t>
        </is>
      </c>
      <c r="E136" s="9" t="inlineStr">
        <is>
          <t>Chưa</t>
        </is>
      </c>
      <c r="F136" s="21" t="n"/>
      <c r="G136" s="22" t="n"/>
      <c r="H136" s="11" t="n"/>
    </row>
    <row r="137">
      <c r="A137" s="16" t="inlineStr">
        <is>
          <t>Phần 3</t>
        </is>
      </c>
      <c r="B137" s="17" t="n">
        <v>3</v>
      </c>
      <c r="C137" s="16" t="inlineStr">
        <is>
          <t>BÀI HỌC</t>
        </is>
      </c>
      <c r="D137" s="18" t="inlineStr">
        <is>
          <t>Bài 11: Pair Programming &amp; Knowledge Sharing — Lan tỏa kiến thức trong đội</t>
        </is>
      </c>
      <c r="E137" s="17">
        <f>IF(G137=1,"Hoàn thành",IF(G137&gt;0,"Đang học","Chưa học"))</f>
        <v/>
      </c>
      <c r="F137" s="19" t="n"/>
      <c r="G137" s="20">
        <f>COUNTIF(E138:E149,"Xong")/COUNTA(E138:E149)</f>
        <v/>
      </c>
      <c r="H137" s="18" t="n"/>
    </row>
    <row r="138">
      <c r="A138" s="10" t="inlineStr">
        <is>
          <t>Phần 3</t>
        </is>
      </c>
      <c r="B138" s="9" t="n">
        <v>3</v>
      </c>
      <c r="C138" s="10" t="inlineStr">
        <is>
          <t>Bài đọc</t>
        </is>
      </c>
      <c r="D138" s="11" t="inlineStr">
        <is>
          <t>Bài 11: Pair Programming &amp; Knowledge Sharing — Lan tỏa kiến thức trong đội</t>
        </is>
      </c>
      <c r="E138" s="9" t="inlineStr">
        <is>
          <t>Chưa</t>
        </is>
      </c>
      <c r="F138" s="21" t="n"/>
      <c r="G138" s="22" t="n"/>
      <c r="H138" s="11" t="n"/>
    </row>
    <row r="139">
      <c r="A139" s="10" t="inlineStr">
        <is>
          <t>Phần 3</t>
        </is>
      </c>
      <c r="B139" s="9" t="n">
        <v>3</v>
      </c>
      <c r="C139" s="10" t="inlineStr">
        <is>
          <t>Bài đọc</t>
        </is>
      </c>
      <c r="D139" s="11" t="inlineStr">
        <is>
          <t>Giới thiệu</t>
        </is>
      </c>
      <c r="E139" s="9" t="inlineStr">
        <is>
          <t>Chưa</t>
        </is>
      </c>
      <c r="F139" s="21" t="n"/>
      <c r="G139" s="22" t="n"/>
      <c r="H139" s="11" t="n"/>
    </row>
    <row r="140">
      <c r="A140" s="10" t="inlineStr">
        <is>
          <t>Phần 3</t>
        </is>
      </c>
      <c r="B140" s="9" t="n">
        <v>3</v>
      </c>
      <c r="C140" s="10" t="inlineStr">
        <is>
          <t>Bài đọc</t>
        </is>
      </c>
      <c r="D140" s="11" t="inlineStr">
        <is>
          <t>Kiến thức nền tảng</t>
        </is>
      </c>
      <c r="E140" s="9" t="inlineStr">
        <is>
          <t>Chưa</t>
        </is>
      </c>
      <c r="F140" s="21" t="n"/>
      <c r="G140" s="22" t="n"/>
      <c r="H140" s="11" t="n"/>
    </row>
    <row r="141">
      <c r="A141" s="10" t="inlineStr">
        <is>
          <t>Phần 3</t>
        </is>
      </c>
      <c r="B141" s="9" t="n">
        <v>3</v>
      </c>
      <c r="C141" s="10" t="inlineStr">
        <is>
          <t>Bài đọc</t>
        </is>
      </c>
      <c r="D141" s="11" t="inlineStr">
        <is>
          <t>Các Hình Thức Pair Programming</t>
        </is>
      </c>
      <c r="E141" s="9" t="inlineStr">
        <is>
          <t>Chưa</t>
        </is>
      </c>
      <c r="F141" s="21" t="n"/>
      <c r="G141" s="22" t="n"/>
      <c r="H141" s="11" t="n"/>
    </row>
    <row r="142">
      <c r="A142" s="10" t="inlineStr">
        <is>
          <t>Phần 3</t>
        </is>
      </c>
      <c r="B142" s="9" t="n">
        <v>3</v>
      </c>
      <c r="C142" s="10" t="inlineStr">
        <is>
          <t>Bài đọc</t>
        </is>
      </c>
      <c r="D142" s="11" t="inlineStr">
        <is>
          <t>Các Kỹ Thuật Knowledge Sharing Mở Rộng</t>
        </is>
      </c>
      <c r="E142" s="9" t="inlineStr">
        <is>
          <t>Chưa</t>
        </is>
      </c>
      <c r="F142" s="21" t="n"/>
      <c r="G142" s="22" t="n"/>
      <c r="H142" s="11" t="n"/>
    </row>
    <row r="143">
      <c r="A143" s="10" t="inlineStr">
        <is>
          <t>Phần 3</t>
        </is>
      </c>
      <c r="B143" s="9" t="n">
        <v>3</v>
      </c>
      <c r="C143" s="10" t="inlineStr">
        <is>
          <t>Bài đọc</t>
        </is>
      </c>
      <c r="D143" s="11" t="inlineStr">
        <is>
          <t>Công Cụ Hỗ Trợ Pair Programming và Knowledge Sharing (Cập nhật 2026)</t>
        </is>
      </c>
      <c r="E143" s="9" t="inlineStr">
        <is>
          <t>Chưa</t>
        </is>
      </c>
      <c r="F143" s="21" t="n"/>
      <c r="G143" s="22" t="n"/>
      <c r="H143" s="11" t="n"/>
    </row>
    <row r="144">
      <c r="A144" s="10" t="inlineStr">
        <is>
          <t>Phần 3</t>
        </is>
      </c>
      <c r="B144" s="9" t="n">
        <v>3</v>
      </c>
      <c r="C144" s="10" t="inlineStr">
        <is>
          <t>Bài đọc</t>
        </is>
      </c>
      <c r="D144" s="11" t="inlineStr">
        <is>
          <t>Lợi Ích và Thách Thức</t>
        </is>
      </c>
      <c r="E144" s="9" t="inlineStr">
        <is>
          <t>Chưa</t>
        </is>
      </c>
      <c r="F144" s="21" t="n"/>
      <c r="G144" s="22" t="n"/>
      <c r="H144" s="11" t="n"/>
    </row>
    <row r="145">
      <c r="A145" s="10" t="inlineStr">
        <is>
          <t>Phần 3</t>
        </is>
      </c>
      <c r="B145" s="9" t="n">
        <v>3</v>
      </c>
      <c r="C145" s="10" t="inlineStr">
        <is>
          <t>Bài đọc</t>
        </is>
      </c>
      <c r="D145" s="11" t="inlineStr">
        <is>
          <t>Các Sai Lầm Thường Gặp</t>
        </is>
      </c>
      <c r="E145" s="9" t="inlineStr">
        <is>
          <t>Chưa</t>
        </is>
      </c>
      <c r="F145" s="21" t="n"/>
      <c r="G145" s="22" t="n"/>
      <c r="H145" s="11" t="n"/>
    </row>
    <row r="146">
      <c r="A146" s="10" t="inlineStr">
        <is>
          <t>Phần 3</t>
        </is>
      </c>
      <c r="B146" s="9" t="n">
        <v>3</v>
      </c>
      <c r="C146" s="10" t="inlineStr">
        <is>
          <t>Bài đọc</t>
        </is>
      </c>
      <c r="D146" s="11" t="inlineStr">
        <is>
          <t>Best Practices</t>
        </is>
      </c>
      <c r="E146" s="9" t="inlineStr">
        <is>
          <t>Chưa</t>
        </is>
      </c>
      <c r="F146" s="21" t="n"/>
      <c r="G146" s="22" t="n"/>
      <c r="H146" s="11" t="n"/>
    </row>
    <row r="147">
      <c r="A147" s="10" t="inlineStr">
        <is>
          <t>Phần 3</t>
        </is>
      </c>
      <c r="B147" s="9" t="n">
        <v>3</v>
      </c>
      <c r="C147" s="10" t="inlineStr">
        <is>
          <t>Bài đọc</t>
        </is>
      </c>
      <c r="D147" s="11" t="inlineStr">
        <is>
          <t>Tài liệu tham khảo</t>
        </is>
      </c>
      <c r="E147" s="9" t="inlineStr">
        <is>
          <t>Chưa</t>
        </is>
      </c>
      <c r="F147" s="21" t="n"/>
      <c r="G147" s="22" t="n"/>
      <c r="H147" s="11" t="n"/>
    </row>
    <row r="148">
      <c r="A148" s="10" t="inlineStr">
        <is>
          <t>Phần 3</t>
        </is>
      </c>
      <c r="B148" s="9" t="n">
        <v>3</v>
      </c>
      <c r="C148" s="10" t="inlineStr">
        <is>
          <t>Bài đọc</t>
        </is>
      </c>
      <c r="D148" s="11" t="inlineStr">
        <is>
          <t>Tóm tắt</t>
        </is>
      </c>
      <c r="E148" s="9" t="inlineStr">
        <is>
          <t>Chưa</t>
        </is>
      </c>
      <c r="F148" s="21" t="n"/>
      <c r="G148" s="22" t="n"/>
      <c r="H148" s="11" t="n"/>
    </row>
    <row r="149">
      <c r="A149" s="10" t="inlineStr">
        <is>
          <t>Phần 3</t>
        </is>
      </c>
      <c r="B149" s="9" t="n">
        <v>3</v>
      </c>
      <c r="C149" s="10" t="inlineStr">
        <is>
          <t>Quiz</t>
        </is>
      </c>
      <c r="D149" s="11" t="inlineStr">
        <is>
          <t>Làm bài kiểm tra cuối bài</t>
        </is>
      </c>
      <c r="E149" s="9" t="inlineStr">
        <is>
          <t>Chưa</t>
        </is>
      </c>
      <c r="F149" s="21" t="n"/>
      <c r="G149" s="22" t="n"/>
      <c r="H149" s="11" t="n"/>
    </row>
    <row r="150">
      <c r="A150" s="16" t="inlineStr">
        <is>
          <t>Phần 3</t>
        </is>
      </c>
      <c r="B150" s="17" t="n">
        <v>4</v>
      </c>
      <c r="C150" s="16" t="inlineStr">
        <is>
          <t>BÀI HỌC</t>
        </is>
      </c>
      <c r="D150" s="18" t="inlineStr">
        <is>
          <t>Bài 12: Feedback định kỳ &amp; Phát triển Sự nghiệp — 1-on-1 hiệu quả</t>
        </is>
      </c>
      <c r="E150" s="17">
        <f>IF(G150=1,"Hoàn thành",IF(G150&gt;0,"Đang học","Chưa học"))</f>
        <v/>
      </c>
      <c r="F150" s="19" t="n"/>
      <c r="G150" s="20">
        <f>COUNTIF(E151:E163,"Xong")/COUNTA(E151:E163)</f>
        <v/>
      </c>
      <c r="H150" s="18" t="n"/>
    </row>
    <row r="151">
      <c r="A151" s="10" t="inlineStr">
        <is>
          <t>Phần 3</t>
        </is>
      </c>
      <c r="B151" s="9" t="n">
        <v>4</v>
      </c>
      <c r="C151" s="10" t="inlineStr">
        <is>
          <t>Bài đọc</t>
        </is>
      </c>
      <c r="D151" s="11" t="inlineStr">
        <is>
          <t>Giới thiệu</t>
        </is>
      </c>
      <c r="E151" s="9" t="inlineStr">
        <is>
          <t>Chưa</t>
        </is>
      </c>
      <c r="F151" s="21" t="n"/>
      <c r="G151" s="22" t="n"/>
      <c r="H151" s="11" t="n"/>
    </row>
    <row r="152">
      <c r="A152" s="10" t="inlineStr">
        <is>
          <t>Phần 3</t>
        </is>
      </c>
      <c r="B152" s="9" t="n">
        <v>4</v>
      </c>
      <c r="C152" s="10" t="inlineStr">
        <is>
          <t>Bài đọc</t>
        </is>
      </c>
      <c r="D152" s="11" t="inlineStr">
        <is>
          <t>Điều kiện tiên quyết</t>
        </is>
      </c>
      <c r="E152" s="9" t="inlineStr">
        <is>
          <t>Chưa</t>
        </is>
      </c>
      <c r="F152" s="21" t="n"/>
      <c r="G152" s="22" t="n"/>
      <c r="H152" s="11" t="n"/>
    </row>
    <row r="153">
      <c r="A153" s="10" t="inlineStr">
        <is>
          <t>Phần 3</t>
        </is>
      </c>
      <c r="B153" s="9" t="n">
        <v>4</v>
      </c>
      <c r="C153" s="10" t="inlineStr">
        <is>
          <t>Bài đọc</t>
        </is>
      </c>
      <c r="D153" s="11" t="inlineStr">
        <is>
          <t>1. Tại sao Feedback Định kỳ và 1-on-1 là "Xương sống" của Phát triển Đội ngũ?</t>
        </is>
      </c>
      <c r="E153" s="9" t="inlineStr">
        <is>
          <t>Chưa</t>
        </is>
      </c>
      <c r="F153" s="21" t="n"/>
      <c r="G153" s="22" t="n"/>
      <c r="H153" s="11" t="n"/>
    </row>
    <row r="154">
      <c r="A154" s="10" t="inlineStr">
        <is>
          <t>Phần 3</t>
        </is>
      </c>
      <c r="B154" s="9" t="n">
        <v>4</v>
      </c>
      <c r="C154" s="10" t="inlineStr">
        <is>
          <t>Bài đọc</t>
        </is>
      </c>
      <c r="D154" s="11" t="inlineStr">
        <is>
          <t>2. Chuẩn bị cho một Buổi 1-on-1 Hiệu quả</t>
        </is>
      </c>
      <c r="E154" s="9" t="inlineStr">
        <is>
          <t>Chưa</t>
        </is>
      </c>
      <c r="F154" s="21" t="n"/>
      <c r="G154" s="22" t="n"/>
      <c r="H154" s="11" t="n"/>
    </row>
    <row r="155">
      <c r="A155" s="10" t="inlineStr">
        <is>
          <t>Phần 3</t>
        </is>
      </c>
      <c r="B155" s="9" t="n">
        <v>4</v>
      </c>
      <c r="C155" s="10" t="inlineStr">
        <is>
          <t>Bài đọc</t>
        </is>
      </c>
      <c r="D155" s="11" t="inlineStr">
        <is>
          <t>3. Nghệ thuật Đưa và Nhận Feedback trong 1-on-1</t>
        </is>
      </c>
      <c r="E155" s="9" t="inlineStr">
        <is>
          <t>Chưa</t>
        </is>
      </c>
      <c r="F155" s="21" t="n"/>
      <c r="G155" s="22" t="n"/>
      <c r="H155" s="11" t="n"/>
    </row>
    <row r="156">
      <c r="A156" s="10" t="inlineStr">
        <is>
          <t>Phần 3</t>
        </is>
      </c>
      <c r="B156" s="9" t="n">
        <v>4</v>
      </c>
      <c r="C156" s="10" t="inlineStr">
        <is>
          <t>Bài đọc</t>
        </is>
      </c>
      <c r="D156" s="11" t="inlineStr">
        <is>
          <t>4. Phát triển Sự nghiệp thông qua 1-on-1</t>
        </is>
      </c>
      <c r="E156" s="9" t="inlineStr">
        <is>
          <t>Chưa</t>
        </is>
      </c>
      <c r="F156" s="21" t="n"/>
      <c r="G156" s="22" t="n"/>
      <c r="H156" s="11" t="n"/>
    </row>
    <row r="157">
      <c r="A157" s="10" t="inlineStr">
        <is>
          <t>Phần 3</t>
        </is>
      </c>
      <c r="B157" s="9" t="n">
        <v>4</v>
      </c>
      <c r="C157" s="10" t="inlineStr">
        <is>
          <t>Bài đọc</t>
        </is>
      </c>
      <c r="D157" s="11" t="inlineStr">
        <is>
          <t>5. Xử lý các Tình huống Khó trong 1-on-1</t>
        </is>
      </c>
      <c r="E157" s="9" t="inlineStr">
        <is>
          <t>Chưa</t>
        </is>
      </c>
      <c r="F157" s="21" t="n"/>
      <c r="G157" s="22" t="n"/>
      <c r="H157" s="11" t="n"/>
    </row>
    <row r="158">
      <c r="A158" s="10" t="inlineStr">
        <is>
          <t>Phần 3</t>
        </is>
      </c>
      <c r="B158" s="9" t="n">
        <v>4</v>
      </c>
      <c r="C158" s="10" t="inlineStr">
        <is>
          <t>Bài đọc</t>
        </is>
      </c>
      <c r="D158" s="11" t="inlineStr">
        <is>
          <t>6. Đo lường Hiệu quả của các Buổi 1-on-1</t>
        </is>
      </c>
      <c r="E158" s="9" t="inlineStr">
        <is>
          <t>Chưa</t>
        </is>
      </c>
      <c r="F158" s="21" t="n"/>
      <c r="G158" s="22" t="n"/>
      <c r="H158" s="11" t="n"/>
    </row>
    <row r="159">
      <c r="A159" s="10" t="inlineStr">
        <is>
          <t>Phần 3</t>
        </is>
      </c>
      <c r="B159" s="9" t="n">
        <v>4</v>
      </c>
      <c r="C159" s="10" t="inlineStr">
        <is>
          <t>Bài đọc</t>
        </is>
      </c>
      <c r="D159" s="11" t="inlineStr">
        <is>
          <t>Lỗi Thường Gặp</t>
        </is>
      </c>
      <c r="E159" s="9" t="inlineStr">
        <is>
          <t>Chưa</t>
        </is>
      </c>
      <c r="F159" s="21" t="n"/>
      <c r="G159" s="22" t="n"/>
      <c r="H159" s="11" t="n"/>
    </row>
    <row r="160">
      <c r="A160" s="10" t="inlineStr">
        <is>
          <t>Phần 3</t>
        </is>
      </c>
      <c r="B160" s="9" t="n">
        <v>4</v>
      </c>
      <c r="C160" s="10" t="inlineStr">
        <is>
          <t>Bài đọc</t>
        </is>
      </c>
      <c r="D160" s="11" t="inlineStr">
        <is>
          <t>Best Practices</t>
        </is>
      </c>
      <c r="E160" s="9" t="inlineStr">
        <is>
          <t>Chưa</t>
        </is>
      </c>
      <c r="F160" s="21" t="n"/>
      <c r="G160" s="22" t="n"/>
      <c r="H160" s="11" t="n"/>
    </row>
    <row r="161">
      <c r="A161" s="10" t="inlineStr">
        <is>
          <t>Phần 3</t>
        </is>
      </c>
      <c r="B161" s="9" t="n">
        <v>4</v>
      </c>
      <c r="C161" s="10" t="inlineStr">
        <is>
          <t>Bài đọc</t>
        </is>
      </c>
      <c r="D161" s="11" t="inlineStr">
        <is>
          <t>References</t>
        </is>
      </c>
      <c r="E161" s="9" t="inlineStr">
        <is>
          <t>Chưa</t>
        </is>
      </c>
      <c r="F161" s="21" t="n"/>
      <c r="G161" s="22" t="n"/>
      <c r="H161" s="11" t="n"/>
    </row>
    <row r="162">
      <c r="A162" s="10" t="inlineStr">
        <is>
          <t>Phần 3</t>
        </is>
      </c>
      <c r="B162" s="9" t="n">
        <v>4</v>
      </c>
      <c r="C162" s="10" t="inlineStr">
        <is>
          <t>Bài đọc</t>
        </is>
      </c>
      <c r="D162" s="11" t="inlineStr">
        <is>
          <t>Tóm tắt</t>
        </is>
      </c>
      <c r="E162" s="9" t="inlineStr">
        <is>
          <t>Chưa</t>
        </is>
      </c>
      <c r="F162" s="21" t="n"/>
      <c r="G162" s="22" t="n"/>
      <c r="H162" s="11" t="n"/>
    </row>
    <row r="163">
      <c r="A163" s="10" t="inlineStr">
        <is>
          <t>Phần 3</t>
        </is>
      </c>
      <c r="B163" s="9" t="n">
        <v>4</v>
      </c>
      <c r="C163" s="10" t="inlineStr">
        <is>
          <t>Quiz</t>
        </is>
      </c>
      <c r="D163" s="11" t="inlineStr">
        <is>
          <t>Làm bài kiểm tra cuối bài</t>
        </is>
      </c>
      <c r="E163" s="9" t="inlineStr">
        <is>
          <t>Chưa</t>
        </is>
      </c>
      <c r="F163" s="21" t="n"/>
      <c r="G163" s="22" t="n"/>
      <c r="H163" s="11" t="n"/>
    </row>
    <row r="164">
      <c r="A164" s="8" t="inlineStr">
        <is>
          <t>Phần 4: Ra quyết định Kiến trúc</t>
        </is>
      </c>
      <c r="B164" s="9" t="n"/>
      <c r="C164" s="10" t="n"/>
      <c r="D164" s="11" t="n"/>
      <c r="E164" s="12" t="n"/>
      <c r="F164" s="13" t="n"/>
      <c r="G164" s="14">
        <f>COUNTIF(E166:E220,"Xong")/COUNTA(E166:E220)</f>
        <v/>
      </c>
      <c r="H164" s="15" t="n"/>
    </row>
    <row r="165">
      <c r="A165" s="16" t="inlineStr">
        <is>
          <t>Phần 4</t>
        </is>
      </c>
      <c r="B165" s="17" t="n">
        <v>1</v>
      </c>
      <c r="C165" s="16" t="inlineStr">
        <is>
          <t>BÀI HỌC</t>
        </is>
      </c>
      <c r="D165" s="18" t="inlineStr">
        <is>
          <t>Bài 13: Technical Decision Making — Khung ra quyết định kỹ thuật</t>
        </is>
      </c>
      <c r="E165" s="17">
        <f>IF(G165=1,"Hoàn thành",IF(G165&gt;0,"Đang học","Chưa học"))</f>
        <v/>
      </c>
      <c r="F165" s="19" t="n"/>
      <c r="G165" s="20">
        <f>COUNTIF(E166:E179,"Xong")/COUNTA(E166:E179)</f>
        <v/>
      </c>
      <c r="H165" s="18" t="n"/>
    </row>
    <row r="166">
      <c r="A166" s="10" t="inlineStr">
        <is>
          <t>Phần 4</t>
        </is>
      </c>
      <c r="B166" s="9" t="n">
        <v>1</v>
      </c>
      <c r="C166" s="10" t="inlineStr">
        <is>
          <t>Bài đọc</t>
        </is>
      </c>
      <c r="D166" s="11" t="inlineStr">
        <is>
          <t>Giới thiệu</t>
        </is>
      </c>
      <c r="E166" s="9" t="inlineStr">
        <is>
          <t>Chưa</t>
        </is>
      </c>
      <c r="F166" s="21" t="n"/>
      <c r="G166" s="22" t="n"/>
      <c r="H166" s="11" t="n"/>
    </row>
    <row r="167">
      <c r="A167" s="10" t="inlineStr">
        <is>
          <t>Phần 4</t>
        </is>
      </c>
      <c r="B167" s="9" t="n">
        <v>1</v>
      </c>
      <c r="C167" s="10" t="inlineStr">
        <is>
          <t>Bài đọc</t>
        </is>
      </c>
      <c r="D167" s="11" t="inlineStr">
        <is>
          <t>Kiến thức nền tảng</t>
        </is>
      </c>
      <c r="E167" s="9" t="inlineStr">
        <is>
          <t>Chưa</t>
        </is>
      </c>
      <c r="F167" s="21" t="n"/>
      <c r="G167" s="22" t="n"/>
      <c r="H167" s="11" t="n"/>
    </row>
    <row r="168">
      <c r="A168" s="10" t="inlineStr">
        <is>
          <t>Phần 4</t>
        </is>
      </c>
      <c r="B168" s="9" t="n">
        <v>1</v>
      </c>
      <c r="C168" s="10" t="inlineStr">
        <is>
          <t>Bài đọc</t>
        </is>
      </c>
      <c r="D168" s="11" t="inlineStr">
        <is>
          <t>Khung ra quyết định kỹ thuật: Tổng quan</t>
        </is>
      </c>
      <c r="E168" s="9" t="inlineStr">
        <is>
          <t>Chưa</t>
        </is>
      </c>
      <c r="F168" s="21" t="n"/>
      <c r="G168" s="22" t="n"/>
      <c r="H168" s="11" t="n"/>
    </row>
    <row r="169">
      <c r="A169" s="10" t="inlineStr">
        <is>
          <t>Phần 4</t>
        </is>
      </c>
      <c r="B169" s="9" t="n">
        <v>1</v>
      </c>
      <c r="C169" s="10" t="inlineStr">
        <is>
          <t>Bài đọc</t>
        </is>
      </c>
      <c r="D169" s="11" t="inlineStr">
        <is>
          <t>Bước 1: Xác định vấn đề</t>
        </is>
      </c>
      <c r="E169" s="9" t="inlineStr">
        <is>
          <t>Chưa</t>
        </is>
      </c>
      <c r="F169" s="21" t="n"/>
      <c r="G169" s="22" t="n"/>
      <c r="H169" s="11" t="n"/>
    </row>
    <row r="170">
      <c r="A170" s="10" t="inlineStr">
        <is>
          <t>Phần 4</t>
        </is>
      </c>
      <c r="B170" s="9" t="n">
        <v>1</v>
      </c>
      <c r="C170" s="10" t="inlineStr">
        <is>
          <t>Bài đọc</t>
        </is>
      </c>
      <c r="D170" s="11" t="inlineStr">
        <is>
          <t>Bước 2: Thu thập thông tin</t>
        </is>
      </c>
      <c r="E170" s="9" t="inlineStr">
        <is>
          <t>Chưa</t>
        </is>
      </c>
      <c r="F170" s="21" t="n"/>
      <c r="G170" s="22" t="n"/>
      <c r="H170" s="11" t="n"/>
    </row>
    <row r="171">
      <c r="A171" s="10" t="inlineStr">
        <is>
          <t>Phần 4</t>
        </is>
      </c>
      <c r="B171" s="9" t="n">
        <v>1</v>
      </c>
      <c r="C171" s="10" t="inlineStr">
        <is>
          <t>Bài đọc</t>
        </is>
      </c>
      <c r="D171" s="11" t="inlineStr">
        <is>
          <t>Bước 3: Xác định tiêu chí đánh giá</t>
        </is>
      </c>
      <c r="E171" s="9" t="inlineStr">
        <is>
          <t>Chưa</t>
        </is>
      </c>
      <c r="F171" s="21" t="n"/>
      <c r="G171" s="22" t="n"/>
      <c r="H171" s="11" t="n"/>
    </row>
    <row r="172">
      <c r="A172" s="10" t="inlineStr">
        <is>
          <t>Phần 4</t>
        </is>
      </c>
      <c r="B172" s="9" t="n">
        <v>1</v>
      </c>
      <c r="C172" s="10" t="inlineStr">
        <is>
          <t>Bài đọc</t>
        </is>
      </c>
      <c r="D172" s="11" t="inlineStr">
        <is>
          <t>Bước 4: Đánh giá các phương án</t>
        </is>
      </c>
      <c r="E172" s="9" t="inlineStr">
        <is>
          <t>Chưa</t>
        </is>
      </c>
      <c r="F172" s="21" t="n"/>
      <c r="G172" s="22" t="n"/>
      <c r="H172" s="11" t="n"/>
    </row>
    <row r="173">
      <c r="A173" s="10" t="inlineStr">
        <is>
          <t>Phần 4</t>
        </is>
      </c>
      <c r="B173" s="9" t="n">
        <v>1</v>
      </c>
      <c r="C173" s="10" t="inlineStr">
        <is>
          <t>Bài đọc</t>
        </is>
      </c>
      <c r="D173" s="11" t="inlineStr">
        <is>
          <t>Bước 5: Ra quyết định và lập kế hoạch triển khai</t>
        </is>
      </c>
      <c r="E173" s="9" t="inlineStr">
        <is>
          <t>Chưa</t>
        </is>
      </c>
      <c r="F173" s="21" t="n"/>
      <c r="G173" s="22" t="n"/>
      <c r="H173" s="11" t="n"/>
    </row>
    <row r="174">
      <c r="A174" s="10" t="inlineStr">
        <is>
          <t>Phần 4</t>
        </is>
      </c>
      <c r="B174" s="9" t="n">
        <v>1</v>
      </c>
      <c r="C174" s="10" t="inlineStr">
        <is>
          <t>Bài đọc</t>
        </is>
      </c>
      <c r="D174" s="11" t="inlineStr">
        <is>
          <t>Bước 6: Đánh giá và điều chỉnh</t>
        </is>
      </c>
      <c r="E174" s="9" t="inlineStr">
        <is>
          <t>Chưa</t>
        </is>
      </c>
      <c r="F174" s="21" t="n"/>
      <c r="G174" s="22" t="n"/>
      <c r="H174" s="11" t="n"/>
    </row>
    <row r="175">
      <c r="A175" s="10" t="inlineStr">
        <is>
          <t>Phần 4</t>
        </is>
      </c>
      <c r="B175" s="9" t="n">
        <v>1</v>
      </c>
      <c r="C175" s="10" t="inlineStr">
        <is>
          <t>Bài đọc</t>
        </is>
      </c>
      <c r="D175" s="11" t="inlineStr">
        <is>
          <t>Các lỗi thường gặp</t>
        </is>
      </c>
      <c r="E175" s="9" t="inlineStr">
        <is>
          <t>Chưa</t>
        </is>
      </c>
      <c r="F175" s="21" t="n"/>
      <c r="G175" s="22" t="n"/>
      <c r="H175" s="11" t="n"/>
    </row>
    <row r="176">
      <c r="A176" s="10" t="inlineStr">
        <is>
          <t>Phần 4</t>
        </is>
      </c>
      <c r="B176" s="9" t="n">
        <v>1</v>
      </c>
      <c r="C176" s="10" t="inlineStr">
        <is>
          <t>Bài đọc</t>
        </is>
      </c>
      <c r="D176" s="11" t="inlineStr">
        <is>
          <t>Best Practices</t>
        </is>
      </c>
      <c r="E176" s="9" t="inlineStr">
        <is>
          <t>Chưa</t>
        </is>
      </c>
      <c r="F176" s="21" t="n"/>
      <c r="G176" s="22" t="n"/>
      <c r="H176" s="11" t="n"/>
    </row>
    <row r="177">
      <c r="A177" s="10" t="inlineStr">
        <is>
          <t>Phần 4</t>
        </is>
      </c>
      <c r="B177" s="9" t="n">
        <v>1</v>
      </c>
      <c r="C177" s="10" t="inlineStr">
        <is>
          <t>Bài đọc</t>
        </is>
      </c>
      <c r="D177" s="11" t="inlineStr">
        <is>
          <t>Tài liệu tham khảo</t>
        </is>
      </c>
      <c r="E177" s="9" t="inlineStr">
        <is>
          <t>Chưa</t>
        </is>
      </c>
      <c r="F177" s="21" t="n"/>
      <c r="G177" s="22" t="n"/>
      <c r="H177" s="11" t="n"/>
    </row>
    <row r="178">
      <c r="A178" s="10" t="inlineStr">
        <is>
          <t>Phần 4</t>
        </is>
      </c>
      <c r="B178" s="9" t="n">
        <v>1</v>
      </c>
      <c r="C178" s="10" t="inlineStr">
        <is>
          <t>Bài đọc</t>
        </is>
      </c>
      <c r="D178" s="11" t="inlineStr">
        <is>
          <t>Tóm tắt</t>
        </is>
      </c>
      <c r="E178" s="9" t="inlineStr">
        <is>
          <t>Chưa</t>
        </is>
      </c>
      <c r="F178" s="21" t="n"/>
      <c r="G178" s="22" t="n"/>
      <c r="H178" s="11" t="n"/>
    </row>
    <row r="179">
      <c r="A179" s="10" t="inlineStr">
        <is>
          <t>Phần 4</t>
        </is>
      </c>
      <c r="B179" s="9" t="n">
        <v>1</v>
      </c>
      <c r="C179" s="10" t="inlineStr">
        <is>
          <t>Quiz</t>
        </is>
      </c>
      <c r="D179" s="11" t="inlineStr">
        <is>
          <t>Làm bài kiểm tra cuối bài</t>
        </is>
      </c>
      <c r="E179" s="9" t="inlineStr">
        <is>
          <t>Chưa</t>
        </is>
      </c>
      <c r="F179" s="21" t="n"/>
      <c r="G179" s="22" t="n"/>
      <c r="H179" s="11" t="n"/>
    </row>
    <row r="180">
      <c r="A180" s="16" t="inlineStr">
        <is>
          <t>Phần 4</t>
        </is>
      </c>
      <c r="B180" s="17" t="n">
        <v>2</v>
      </c>
      <c r="C180" s="16" t="inlineStr">
        <is>
          <t>BÀI HỌC</t>
        </is>
      </c>
      <c r="D180" s="18" t="inlineStr">
        <is>
          <t>Bài 14: Architecture Decision Records (ADR) — Ghi lại lý do của quyết định</t>
        </is>
      </c>
      <c r="E180" s="17">
        <f>IF(G180=1,"Hoàn thành",IF(G180&gt;0,"Đang học","Chưa học"))</f>
        <v/>
      </c>
      <c r="F180" s="19" t="n"/>
      <c r="G180" s="20">
        <f>COUNTIF(E181:E192,"Xong")/COUNTA(E181:E192)</f>
        <v/>
      </c>
      <c r="H180" s="18" t="n"/>
    </row>
    <row r="181">
      <c r="A181" s="10" t="inlineStr">
        <is>
          <t>Phần 4</t>
        </is>
      </c>
      <c r="B181" s="9" t="n">
        <v>2</v>
      </c>
      <c r="C181" s="10" t="inlineStr">
        <is>
          <t>Bài đọc</t>
        </is>
      </c>
      <c r="D181" s="11" t="inlineStr">
        <is>
          <t>Giới thiệu</t>
        </is>
      </c>
      <c r="E181" s="9" t="inlineStr">
        <is>
          <t>Chưa</t>
        </is>
      </c>
      <c r="F181" s="21" t="n"/>
      <c r="G181" s="22" t="n"/>
      <c r="H181" s="11" t="n"/>
    </row>
    <row r="182">
      <c r="A182" s="10" t="inlineStr">
        <is>
          <t>Phần 4</t>
        </is>
      </c>
      <c r="B182" s="9" t="n">
        <v>2</v>
      </c>
      <c r="C182" s="10" t="inlineStr">
        <is>
          <t>Bài đọc</t>
        </is>
      </c>
      <c r="D182" s="11" t="inlineStr">
        <is>
          <t>Prerequisites</t>
        </is>
      </c>
      <c r="E182" s="9" t="inlineStr">
        <is>
          <t>Chưa</t>
        </is>
      </c>
      <c r="F182" s="21" t="n"/>
      <c r="G182" s="22" t="n"/>
      <c r="H182" s="11" t="n"/>
    </row>
    <row r="183">
      <c r="A183" s="10" t="inlineStr">
        <is>
          <t>Phần 4</t>
        </is>
      </c>
      <c r="B183" s="9" t="n">
        <v>2</v>
      </c>
      <c r="C183" s="10" t="inlineStr">
        <is>
          <t>Bài đọc</t>
        </is>
      </c>
      <c r="D183" s="11" t="inlineStr">
        <is>
          <t>Cấu trúc chuẩn của một ADR</t>
        </is>
      </c>
      <c r="E183" s="9" t="inlineStr">
        <is>
          <t>Chưa</t>
        </is>
      </c>
      <c r="F183" s="21" t="n"/>
      <c r="G183" s="22" t="n"/>
      <c r="H183" s="11" t="n"/>
    </row>
    <row r="184">
      <c r="A184" s="10" t="inlineStr">
        <is>
          <t>Phần 4</t>
        </is>
      </c>
      <c r="B184" s="9" t="n">
        <v>2</v>
      </c>
      <c r="C184" s="10" t="inlineStr">
        <is>
          <t>Bài đọc</t>
        </is>
      </c>
      <c r="D184" s="11" t="inlineStr">
        <is>
          <t>Quy trình tạo và quản lý ADR</t>
        </is>
      </c>
      <c r="E184" s="9" t="inlineStr">
        <is>
          <t>Chưa</t>
        </is>
      </c>
      <c r="F184" s="21" t="n"/>
      <c r="G184" s="22" t="n"/>
      <c r="H184" s="11" t="n"/>
    </row>
    <row r="185">
      <c r="A185" s="10" t="inlineStr">
        <is>
          <t>Phần 4</t>
        </is>
      </c>
      <c r="B185" s="9" t="n">
        <v>2</v>
      </c>
      <c r="C185" s="10" t="inlineStr">
        <is>
          <t>Bài đọc</t>
        </is>
      </c>
      <c r="D185" s="11" t="inlineStr">
        <is>
          <t>Lợi ích và ứng dụng thực tế</t>
        </is>
      </c>
      <c r="E185" s="9" t="inlineStr">
        <is>
          <t>Chưa</t>
        </is>
      </c>
      <c r="F185" s="21" t="n"/>
      <c r="G185" s="22" t="n"/>
      <c r="H185" s="11" t="n"/>
    </row>
    <row r="186">
      <c r="A186" s="10" t="inlineStr">
        <is>
          <t>Phần 4</t>
        </is>
      </c>
      <c r="B186" s="9" t="n">
        <v>2</v>
      </c>
      <c r="C186" s="10" t="inlineStr">
        <is>
          <t>Bài đọc</t>
        </is>
      </c>
      <c r="D186" s="11" t="inlineStr">
        <is>
          <t>Các mẫu ADR nâng cao</t>
        </is>
      </c>
      <c r="E186" s="9" t="inlineStr">
        <is>
          <t>Chưa</t>
        </is>
      </c>
      <c r="F186" s="21" t="n"/>
      <c r="G186" s="22" t="n"/>
      <c r="H186" s="11" t="n"/>
    </row>
    <row r="187">
      <c r="A187" s="10" t="inlineStr">
        <is>
          <t>Phần 4</t>
        </is>
      </c>
      <c r="B187" s="9" t="n">
        <v>2</v>
      </c>
      <c r="C187" s="10" t="inlineStr">
        <is>
          <t>Bài đọc</t>
        </is>
      </c>
      <c r="D187" s="11" t="inlineStr">
        <is>
          <t>Tích hợp ADR vào quy trình phát triển</t>
        </is>
      </c>
      <c r="E187" s="9" t="inlineStr">
        <is>
          <t>Chưa</t>
        </is>
      </c>
      <c r="F187" s="21" t="n"/>
      <c r="G187" s="22" t="n"/>
      <c r="H187" s="11" t="n"/>
    </row>
    <row r="188">
      <c r="A188" s="10" t="inlineStr">
        <is>
          <t>Phần 4</t>
        </is>
      </c>
      <c r="B188" s="9" t="n">
        <v>2</v>
      </c>
      <c r="C188" s="10" t="inlineStr">
        <is>
          <t>Bài đọc</t>
        </is>
      </c>
      <c r="D188" s="11" t="inlineStr">
        <is>
          <t>Common Mistakes</t>
        </is>
      </c>
      <c r="E188" s="9" t="inlineStr">
        <is>
          <t>Chưa</t>
        </is>
      </c>
      <c r="F188" s="21" t="n"/>
      <c r="G188" s="22" t="n"/>
      <c r="H188" s="11" t="n"/>
    </row>
    <row r="189">
      <c r="A189" s="10" t="inlineStr">
        <is>
          <t>Phần 4</t>
        </is>
      </c>
      <c r="B189" s="9" t="n">
        <v>2</v>
      </c>
      <c r="C189" s="10" t="inlineStr">
        <is>
          <t>Bài đọc</t>
        </is>
      </c>
      <c r="D189" s="11" t="inlineStr">
        <is>
          <t>Best Practices</t>
        </is>
      </c>
      <c r="E189" s="9" t="inlineStr">
        <is>
          <t>Chưa</t>
        </is>
      </c>
      <c r="F189" s="21" t="n"/>
      <c r="G189" s="22" t="n"/>
      <c r="H189" s="11" t="n"/>
    </row>
    <row r="190">
      <c r="A190" s="10" t="inlineStr">
        <is>
          <t>Phần 4</t>
        </is>
      </c>
      <c r="B190" s="9" t="n">
        <v>2</v>
      </c>
      <c r="C190" s="10" t="inlineStr">
        <is>
          <t>Bài đọc</t>
        </is>
      </c>
      <c r="D190" s="11" t="inlineStr">
        <is>
          <t>References</t>
        </is>
      </c>
      <c r="E190" s="9" t="inlineStr">
        <is>
          <t>Chưa</t>
        </is>
      </c>
      <c r="F190" s="21" t="n"/>
      <c r="G190" s="22" t="n"/>
      <c r="H190" s="11" t="n"/>
    </row>
    <row r="191">
      <c r="A191" s="10" t="inlineStr">
        <is>
          <t>Phần 4</t>
        </is>
      </c>
      <c r="B191" s="9" t="n">
        <v>2</v>
      </c>
      <c r="C191" s="10" t="inlineStr">
        <is>
          <t>Bài đọc</t>
        </is>
      </c>
      <c r="D191" s="11" t="inlineStr">
        <is>
          <t>Summary</t>
        </is>
      </c>
      <c r="E191" s="9" t="inlineStr">
        <is>
          <t>Chưa</t>
        </is>
      </c>
      <c r="F191" s="21" t="n"/>
      <c r="G191" s="22" t="n"/>
      <c r="H191" s="11" t="n"/>
    </row>
    <row r="192">
      <c r="A192" s="10" t="inlineStr">
        <is>
          <t>Phần 4</t>
        </is>
      </c>
      <c r="B192" s="9" t="n">
        <v>2</v>
      </c>
      <c r="C192" s="10" t="inlineStr">
        <is>
          <t>Quiz</t>
        </is>
      </c>
      <c r="D192" s="11" t="inlineStr">
        <is>
          <t>Làm bài kiểm tra cuối bài</t>
        </is>
      </c>
      <c r="E192" s="9" t="inlineStr">
        <is>
          <t>Chưa</t>
        </is>
      </c>
      <c r="F192" s="21" t="n"/>
      <c r="G192" s="22" t="n"/>
      <c r="H192" s="11" t="n"/>
    </row>
    <row r="193">
      <c r="A193" s="16" t="inlineStr">
        <is>
          <t>Phần 4</t>
        </is>
      </c>
      <c r="B193" s="17" t="n">
        <v>3</v>
      </c>
      <c r="C193" s="16" t="inlineStr">
        <is>
          <t>BÀI HỌC</t>
        </is>
      </c>
      <c r="D193" s="18" t="inlineStr">
        <is>
          <t>Bài 15: Quản lý Technical Debt — Cân bằng tốc độ và chất lượng</t>
        </is>
      </c>
      <c r="E193" s="17">
        <f>IF(G193=1,"Hoàn thành",IF(G193&gt;0,"Đang học","Chưa học"))</f>
        <v/>
      </c>
      <c r="F193" s="19" t="n"/>
      <c r="G193" s="20">
        <f>COUNTIF(E194:E206,"Xong")/COUNTA(E194:E206)</f>
        <v/>
      </c>
      <c r="H193" s="18" t="n"/>
    </row>
    <row r="194">
      <c r="A194" s="10" t="inlineStr">
        <is>
          <t>Phần 4</t>
        </is>
      </c>
      <c r="B194" s="9" t="n">
        <v>3</v>
      </c>
      <c r="C194" s="10" t="inlineStr">
        <is>
          <t>Bài đọc</t>
        </is>
      </c>
      <c r="D194" s="11" t="inlineStr">
        <is>
          <t>Giới thiệu</t>
        </is>
      </c>
      <c r="E194" s="9" t="inlineStr">
        <is>
          <t>Chưa</t>
        </is>
      </c>
      <c r="F194" s="21" t="n"/>
      <c r="G194" s="22" t="n"/>
      <c r="H194" s="11" t="n"/>
    </row>
    <row r="195">
      <c r="A195" s="10" t="inlineStr">
        <is>
          <t>Phần 4</t>
        </is>
      </c>
      <c r="B195" s="9" t="n">
        <v>3</v>
      </c>
      <c r="C195" s="10" t="inlineStr">
        <is>
          <t>Bài đọc</t>
        </is>
      </c>
      <c r="D195" s="11" t="inlineStr">
        <is>
          <t>Kiến thức nền tảng</t>
        </is>
      </c>
      <c r="E195" s="9" t="inlineStr">
        <is>
          <t>Chưa</t>
        </is>
      </c>
      <c r="F195" s="21" t="n"/>
      <c r="G195" s="22" t="n"/>
      <c r="H195" s="11" t="n"/>
    </row>
    <row r="196">
      <c r="A196" s="10" t="inlineStr">
        <is>
          <t>Phần 4</t>
        </is>
      </c>
      <c r="B196" s="9" t="n">
        <v>3</v>
      </c>
      <c r="C196" s="10" t="inlineStr">
        <is>
          <t>Bài đọc</t>
        </is>
      </c>
      <c r="D196" s="11" t="inlineStr">
        <is>
          <t>Technical Debt là gì? Phân loại</t>
        </is>
      </c>
      <c r="E196" s="9" t="inlineStr">
        <is>
          <t>Chưa</t>
        </is>
      </c>
      <c r="F196" s="21" t="n"/>
      <c r="G196" s="22" t="n"/>
      <c r="H196" s="11" t="n"/>
    </row>
    <row r="197">
      <c r="A197" s="10" t="inlineStr">
        <is>
          <t>Phần 4</t>
        </is>
      </c>
      <c r="B197" s="9" t="n">
        <v>3</v>
      </c>
      <c r="C197" s="10" t="inlineStr">
        <is>
          <t>Bài đọc</t>
        </is>
      </c>
      <c r="D197" s="11" t="inlineStr">
        <is>
          <t>Nhận diện Technical Debt trong codebase</t>
        </is>
      </c>
      <c r="E197" s="9" t="inlineStr">
        <is>
          <t>Chưa</t>
        </is>
      </c>
      <c r="F197" s="21" t="n"/>
      <c r="G197" s="22" t="n"/>
      <c r="H197" s="11" t="n"/>
    </row>
    <row r="198">
      <c r="A198" s="10" t="inlineStr">
        <is>
          <t>Phần 4</t>
        </is>
      </c>
      <c r="B198" s="9" t="n">
        <v>3</v>
      </c>
      <c r="C198" s="10" t="inlineStr">
        <is>
          <t>Bài đọc</t>
        </is>
      </c>
      <c r="D198" s="11" t="inlineStr">
        <is>
          <t>Theo dõi Technical Debt</t>
        </is>
      </c>
      <c r="E198" s="9" t="inlineStr">
        <is>
          <t>Chưa</t>
        </is>
      </c>
      <c r="F198" s="21" t="n"/>
      <c r="G198" s="22" t="n"/>
      <c r="H198" s="11" t="n"/>
    </row>
    <row r="199">
      <c r="A199" s="10" t="inlineStr">
        <is>
          <t>Phần 4</t>
        </is>
      </c>
      <c r="B199" s="9" t="n">
        <v>3</v>
      </c>
      <c r="C199" s="10" t="inlineStr">
        <is>
          <t>Bài đọc</t>
        </is>
      </c>
      <c r="D199" s="11" t="inlineStr">
        <is>
          <t>Trả nợ Technical Debt một cách có chủ đích</t>
        </is>
      </c>
      <c r="E199" s="9" t="inlineStr">
        <is>
          <t>Chưa</t>
        </is>
      </c>
      <c r="F199" s="21" t="n"/>
      <c r="G199" s="22" t="n"/>
      <c r="H199" s="11" t="n"/>
    </row>
    <row r="200">
      <c r="A200" s="10" t="inlineStr">
        <is>
          <t>Phần 4</t>
        </is>
      </c>
      <c r="B200" s="9" t="n">
        <v>3</v>
      </c>
      <c r="C200" s="10" t="inlineStr">
        <is>
          <t>Bài đọc</t>
        </is>
      </c>
      <c r="D200" s="11" t="inlineStr">
        <is>
          <t>Cân bằng tốc độ và chất lượng</t>
        </is>
      </c>
      <c r="E200" s="9" t="inlineStr">
        <is>
          <t>Chưa</t>
        </is>
      </c>
      <c r="F200" s="21" t="n"/>
      <c r="G200" s="22" t="n"/>
      <c r="H200" s="11" t="n"/>
    </row>
    <row r="201">
      <c r="A201" s="10" t="inlineStr">
        <is>
          <t>Phần 4</t>
        </is>
      </c>
      <c r="B201" s="9" t="n">
        <v>3</v>
      </c>
      <c r="C201" s="10" t="inlineStr">
        <is>
          <t>Bài đọc</t>
        </is>
      </c>
      <c r="D201" s="11" t="inlineStr">
        <is>
          <t>Công cụ và thực hành hiện đại (2026)</t>
        </is>
      </c>
      <c r="E201" s="9" t="inlineStr">
        <is>
          <t>Chưa</t>
        </is>
      </c>
      <c r="F201" s="21" t="n"/>
      <c r="G201" s="22" t="n"/>
      <c r="H201" s="11" t="n"/>
    </row>
    <row r="202">
      <c r="A202" s="10" t="inlineStr">
        <is>
          <t>Phần 4</t>
        </is>
      </c>
      <c r="B202" s="9" t="n">
        <v>3</v>
      </c>
      <c r="C202" s="10" t="inlineStr">
        <is>
          <t>Bài đọc</t>
        </is>
      </c>
      <c r="D202" s="11" t="inlineStr">
        <is>
          <t>Common Mistakes (Sai lầm thường gặp)</t>
        </is>
      </c>
      <c r="E202" s="9" t="inlineStr">
        <is>
          <t>Chưa</t>
        </is>
      </c>
      <c r="F202" s="21" t="n"/>
      <c r="G202" s="22" t="n"/>
      <c r="H202" s="11" t="n"/>
    </row>
    <row r="203">
      <c r="A203" s="10" t="inlineStr">
        <is>
          <t>Phần 4</t>
        </is>
      </c>
      <c r="B203" s="9" t="n">
        <v>3</v>
      </c>
      <c r="C203" s="10" t="inlineStr">
        <is>
          <t>Bài đọc</t>
        </is>
      </c>
      <c r="D203" s="11" t="inlineStr">
        <is>
          <t>Best Practices (Thực hành tốt nhất)</t>
        </is>
      </c>
      <c r="E203" s="9" t="inlineStr">
        <is>
          <t>Chưa</t>
        </is>
      </c>
      <c r="F203" s="21" t="n"/>
      <c r="G203" s="22" t="n"/>
      <c r="H203" s="11" t="n"/>
    </row>
    <row r="204">
      <c r="A204" s="10" t="inlineStr">
        <is>
          <t>Phần 4</t>
        </is>
      </c>
      <c r="B204" s="9" t="n">
        <v>3</v>
      </c>
      <c r="C204" s="10" t="inlineStr">
        <is>
          <t>Bài đọc</t>
        </is>
      </c>
      <c r="D204" s="11" t="inlineStr">
        <is>
          <t>References</t>
        </is>
      </c>
      <c r="E204" s="9" t="inlineStr">
        <is>
          <t>Chưa</t>
        </is>
      </c>
      <c r="F204" s="21" t="n"/>
      <c r="G204" s="22" t="n"/>
      <c r="H204" s="11" t="n"/>
    </row>
    <row r="205">
      <c r="A205" s="10" t="inlineStr">
        <is>
          <t>Phần 4</t>
        </is>
      </c>
      <c r="B205" s="9" t="n">
        <v>3</v>
      </c>
      <c r="C205" s="10" t="inlineStr">
        <is>
          <t>Bài đọc</t>
        </is>
      </c>
      <c r="D205" s="11" t="inlineStr">
        <is>
          <t>Summary</t>
        </is>
      </c>
      <c r="E205" s="9" t="inlineStr">
        <is>
          <t>Chưa</t>
        </is>
      </c>
      <c r="F205" s="21" t="n"/>
      <c r="G205" s="22" t="n"/>
      <c r="H205" s="11" t="n"/>
    </row>
    <row r="206">
      <c r="A206" s="10" t="inlineStr">
        <is>
          <t>Phần 4</t>
        </is>
      </c>
      <c r="B206" s="9" t="n">
        <v>3</v>
      </c>
      <c r="C206" s="10" t="inlineStr">
        <is>
          <t>Quiz</t>
        </is>
      </c>
      <c r="D206" s="11" t="inlineStr">
        <is>
          <t>Làm bài kiểm tra cuối bài</t>
        </is>
      </c>
      <c r="E206" s="9" t="inlineStr">
        <is>
          <t>Chưa</t>
        </is>
      </c>
      <c r="F206" s="21" t="n"/>
      <c r="G206" s="22" t="n"/>
      <c r="H206" s="11" t="n"/>
    </row>
    <row r="207">
      <c r="A207" s="16" t="inlineStr">
        <is>
          <t>Phần 4</t>
        </is>
      </c>
      <c r="B207" s="17" t="n">
        <v>4</v>
      </c>
      <c r="C207" s="16" t="inlineStr">
        <is>
          <t>BÀI HỌC</t>
        </is>
      </c>
      <c r="D207" s="18" t="inlineStr">
        <is>
          <t>Bài 16: Trade-off Analysis — Mọi quyết định đều có cái giá</t>
        </is>
      </c>
      <c r="E207" s="17">
        <f>IF(G207=1,"Hoàn thành",IF(G207&gt;0,"Đang học","Chưa học"))</f>
        <v/>
      </c>
      <c r="F207" s="19" t="n"/>
      <c r="G207" s="20">
        <f>COUNTIF(E208:E220,"Xong")/COUNTA(E208:E220)</f>
        <v/>
      </c>
      <c r="H207" s="18" t="n"/>
    </row>
    <row r="208">
      <c r="A208" s="10" t="inlineStr">
        <is>
          <t>Phần 4</t>
        </is>
      </c>
      <c r="B208" s="9" t="n">
        <v>4</v>
      </c>
      <c r="C208" s="10" t="inlineStr">
        <is>
          <t>Bài đọc</t>
        </is>
      </c>
      <c r="D208" s="11" t="inlineStr">
        <is>
          <t>Bài 16: Trade-off Analysis — Mọi quyết định đều có cái giá</t>
        </is>
      </c>
      <c r="E208" s="9" t="inlineStr">
        <is>
          <t>Chưa</t>
        </is>
      </c>
      <c r="F208" s="21" t="n"/>
      <c r="G208" s="22" t="n"/>
      <c r="H208" s="11" t="n"/>
    </row>
    <row r="209">
      <c r="A209" s="10" t="inlineStr">
        <is>
          <t>Phần 4</t>
        </is>
      </c>
      <c r="B209" s="9" t="n">
        <v>4</v>
      </c>
      <c r="C209" s="10" t="inlineStr">
        <is>
          <t>Bài đọc</t>
        </is>
      </c>
      <c r="D209" s="11" t="inlineStr">
        <is>
          <t>Giới thiệu</t>
        </is>
      </c>
      <c r="E209" s="9" t="inlineStr">
        <is>
          <t>Chưa</t>
        </is>
      </c>
      <c r="F209" s="21" t="n"/>
      <c r="G209" s="22" t="n"/>
      <c r="H209" s="11" t="n"/>
    </row>
    <row r="210">
      <c r="A210" s="10" t="inlineStr">
        <is>
          <t>Phần 4</t>
        </is>
      </c>
      <c r="B210" s="9" t="n">
        <v>4</v>
      </c>
      <c r="C210" s="10" t="inlineStr">
        <is>
          <t>Bài đọc</t>
        </is>
      </c>
      <c r="D210" s="11" t="inlineStr">
        <is>
          <t>Điều kiện tiên quyết</t>
        </is>
      </c>
      <c r="E210" s="9" t="inlineStr">
        <is>
          <t>Chưa</t>
        </is>
      </c>
      <c r="F210" s="21" t="n"/>
      <c r="G210" s="22" t="n"/>
      <c r="H210" s="11" t="n"/>
    </row>
    <row r="211">
      <c r="A211" s="10" t="inlineStr">
        <is>
          <t>Phần 4</t>
        </is>
      </c>
      <c r="B211" s="9" t="n">
        <v>4</v>
      </c>
      <c r="C211" s="10" t="inlineStr">
        <is>
          <t>Bài đọc</t>
        </is>
      </c>
      <c r="D211" s="11" t="inlineStr">
        <is>
          <t>Bản chất của sự đánh đổi trong Kiến trúc</t>
        </is>
      </c>
      <c r="E211" s="9" t="inlineStr">
        <is>
          <t>Chưa</t>
        </is>
      </c>
      <c r="F211" s="21" t="n"/>
      <c r="G211" s="22" t="n"/>
      <c r="H211" s="11" t="n"/>
    </row>
    <row r="212">
      <c r="A212" s="10" t="inlineStr">
        <is>
          <t>Phần 4</t>
        </is>
      </c>
      <c r="B212" s="9" t="n">
        <v>4</v>
      </c>
      <c r="C212" s="10" t="inlineStr">
        <is>
          <t>Bài đọc</t>
        </is>
      </c>
      <c r="D212" s="11" t="inlineStr">
        <is>
          <t>Phương pháp phân tích đánh đổi có hệ thống</t>
        </is>
      </c>
      <c r="E212" s="9" t="inlineStr">
        <is>
          <t>Chưa</t>
        </is>
      </c>
      <c r="F212" s="21" t="n"/>
      <c r="G212" s="22" t="n"/>
      <c r="H212" s="11" t="n"/>
    </row>
    <row r="213">
      <c r="A213" s="10" t="inlineStr">
        <is>
          <t>Phần 4</t>
        </is>
      </c>
      <c r="B213" s="9" t="n">
        <v>4</v>
      </c>
      <c r="C213" s="10" t="inlineStr">
        <is>
          <t>Bài đọc</t>
        </is>
      </c>
      <c r="D213" s="11" t="inlineStr">
        <is>
          <t>Ví dụ thực tế: Chọn cơ sở dữ liệu cho ứng dụng Social Media</t>
        </is>
      </c>
      <c r="E213" s="9" t="inlineStr">
        <is>
          <t>Chưa</t>
        </is>
      </c>
      <c r="F213" s="21" t="n"/>
      <c r="G213" s="22" t="n"/>
      <c r="H213" s="11" t="n"/>
    </row>
    <row r="214">
      <c r="A214" s="10" t="inlineStr">
        <is>
          <t>Phần 4</t>
        </is>
      </c>
      <c r="B214" s="9" t="n">
        <v>4</v>
      </c>
      <c r="C214" s="10" t="inlineStr">
        <is>
          <t>Bài đọc</t>
        </is>
      </c>
      <c r="D214" s="11" t="inlineStr">
        <is>
          <t>Công cụ hỗ trợ phân tích đánh đổi</t>
        </is>
      </c>
      <c r="E214" s="9" t="inlineStr">
        <is>
          <t>Chưa</t>
        </is>
      </c>
      <c r="F214" s="21" t="n"/>
      <c r="G214" s="22" t="n"/>
      <c r="H214" s="11" t="n"/>
    </row>
    <row r="215">
      <c r="A215" s="10" t="inlineStr">
        <is>
          <t>Phần 4</t>
        </is>
      </c>
      <c r="B215" s="9" t="n">
        <v>4</v>
      </c>
      <c r="C215" s="10" t="inlineStr">
        <is>
          <t>Bài đọc</t>
        </is>
      </c>
      <c r="D215" s="11" t="inlineStr">
        <is>
          <t>Lỗi thường gặp khi phân tích đánh đổi</t>
        </is>
      </c>
      <c r="E215" s="9" t="inlineStr">
        <is>
          <t>Chưa</t>
        </is>
      </c>
      <c r="F215" s="21" t="n"/>
      <c r="G215" s="22" t="n"/>
      <c r="H215" s="11" t="n"/>
    </row>
    <row r="216">
      <c r="A216" s="10" t="inlineStr">
        <is>
          <t>Phần 4</t>
        </is>
      </c>
      <c r="B216" s="9" t="n">
        <v>4</v>
      </c>
      <c r="C216" s="10" t="inlineStr">
        <is>
          <t>Bài đọc</t>
        </is>
      </c>
      <c r="D216" s="11" t="inlineStr">
        <is>
          <t>Thực hành tốt nhất</t>
        </is>
      </c>
      <c r="E216" s="9" t="inlineStr">
        <is>
          <t>Chưa</t>
        </is>
      </c>
      <c r="F216" s="21" t="n"/>
      <c r="G216" s="22" t="n"/>
      <c r="H216" s="11" t="n"/>
    </row>
    <row r="217">
      <c r="A217" s="10" t="inlineStr">
        <is>
          <t>Phần 4</t>
        </is>
      </c>
      <c r="B217" s="9" t="n">
        <v>4</v>
      </c>
      <c r="C217" s="10" t="inlineStr">
        <is>
          <t>Bài đọc</t>
        </is>
      </c>
      <c r="D217" s="11" t="inlineStr">
        <is>
          <t>Kết luận</t>
        </is>
      </c>
      <c r="E217" s="9" t="inlineStr">
        <is>
          <t>Chưa</t>
        </is>
      </c>
      <c r="F217" s="21" t="n"/>
      <c r="G217" s="22" t="n"/>
      <c r="H217" s="11" t="n"/>
    </row>
    <row r="218">
      <c r="A218" s="10" t="inlineStr">
        <is>
          <t>Phần 4</t>
        </is>
      </c>
      <c r="B218" s="9" t="n">
        <v>4</v>
      </c>
      <c r="C218" s="10" t="inlineStr">
        <is>
          <t>Bài đọc</t>
        </is>
      </c>
      <c r="D218" s="11" t="inlineStr">
        <is>
          <t>Tài liệu tham khảo</t>
        </is>
      </c>
      <c r="E218" s="9" t="inlineStr">
        <is>
          <t>Chưa</t>
        </is>
      </c>
      <c r="F218" s="21" t="n"/>
      <c r="G218" s="22" t="n"/>
      <c r="H218" s="11" t="n"/>
    </row>
    <row r="219">
      <c r="A219" s="10" t="inlineStr">
        <is>
          <t>Phần 4</t>
        </is>
      </c>
      <c r="B219" s="9" t="n">
        <v>4</v>
      </c>
      <c r="C219" s="10" t="inlineStr">
        <is>
          <t>Bài đọc</t>
        </is>
      </c>
      <c r="D219" s="11" t="inlineStr">
        <is>
          <t>Tóm tắt</t>
        </is>
      </c>
      <c r="E219" s="9" t="inlineStr">
        <is>
          <t>Chưa</t>
        </is>
      </c>
      <c r="F219" s="21" t="n"/>
      <c r="G219" s="22" t="n"/>
      <c r="H219" s="11" t="n"/>
    </row>
    <row r="220">
      <c r="A220" s="10" t="inlineStr">
        <is>
          <t>Phần 4</t>
        </is>
      </c>
      <c r="B220" s="9" t="n">
        <v>4</v>
      </c>
      <c r="C220" s="10" t="inlineStr">
        <is>
          <t>Quiz</t>
        </is>
      </c>
      <c r="D220" s="11" t="inlineStr">
        <is>
          <t>Làm bài kiểm tra cuối bài</t>
        </is>
      </c>
      <c r="E220" s="9" t="inlineStr">
        <is>
          <t>Chưa</t>
        </is>
      </c>
      <c r="F220" s="21" t="n"/>
      <c r="G220" s="22" t="n"/>
      <c r="H220" s="11" t="n"/>
    </row>
    <row r="221">
      <c r="A221" s="8" t="inlineStr">
        <is>
          <t>Phần 5: Giao tiếp &amp; Cộng tác</t>
        </is>
      </c>
      <c r="B221" s="9" t="n"/>
      <c r="C221" s="10" t="n"/>
      <c r="D221" s="11" t="n"/>
      <c r="E221" s="12" t="n"/>
      <c r="F221" s="13" t="n"/>
      <c r="G221" s="14">
        <f>COUNTIF(E223:E273,"Xong")/COUNTA(E223:E273)</f>
        <v/>
      </c>
      <c r="H221" s="15" t="n"/>
    </row>
    <row r="222">
      <c r="A222" s="16" t="inlineStr">
        <is>
          <t>Phần 5</t>
        </is>
      </c>
      <c r="B222" s="17" t="n">
        <v>1</v>
      </c>
      <c r="C222" s="16" t="inlineStr">
        <is>
          <t>BÀI HỌC</t>
        </is>
      </c>
      <c r="D222" s="18" t="inlineStr">
        <is>
          <t>Bài 17: Giao tiếp Kỹ thuật — Viết tài liệu rõ ràng và trình bày cho nhiều đối tượng</t>
        </is>
      </c>
      <c r="E222" s="17">
        <f>IF(G222=1,"Hoàn thành",IF(G222&gt;0,"Đang học","Chưa học"))</f>
        <v/>
      </c>
      <c r="F222" s="19" t="n"/>
      <c r="G222" s="20">
        <f>COUNTIF(E223:E235,"Xong")/COUNTA(E223:E235)</f>
        <v/>
      </c>
      <c r="H222" s="18" t="n"/>
    </row>
    <row r="223">
      <c r="A223" s="10" t="inlineStr">
        <is>
          <t>Phần 5</t>
        </is>
      </c>
      <c r="B223" s="9" t="n">
        <v>1</v>
      </c>
      <c r="C223" s="10" t="inlineStr">
        <is>
          <t>Bài đọc</t>
        </is>
      </c>
      <c r="D223" s="11" t="inlineStr">
        <is>
          <t>Bài 17: Giao tiếp Kỹ thuật — Viết tài liệu rõ ràng và trình bày cho nhiều đối tượng</t>
        </is>
      </c>
      <c r="E223" s="9" t="inlineStr">
        <is>
          <t>Chưa</t>
        </is>
      </c>
      <c r="F223" s="21" t="n"/>
      <c r="G223" s="22" t="n"/>
      <c r="H223" s="11" t="n"/>
    </row>
    <row r="224">
      <c r="A224" s="10" t="inlineStr">
        <is>
          <t>Phần 5</t>
        </is>
      </c>
      <c r="B224" s="9" t="n">
        <v>1</v>
      </c>
      <c r="C224" s="10" t="inlineStr">
        <is>
          <t>Bài đọc</t>
        </is>
      </c>
      <c r="D224" s="11" t="inlineStr">
        <is>
          <t>Giới thiệu</t>
        </is>
      </c>
      <c r="E224" s="9" t="inlineStr">
        <is>
          <t>Chưa</t>
        </is>
      </c>
      <c r="F224" s="21" t="n"/>
      <c r="G224" s="22" t="n"/>
      <c r="H224" s="11" t="n"/>
    </row>
    <row r="225">
      <c r="A225" s="10" t="inlineStr">
        <is>
          <t>Phần 5</t>
        </is>
      </c>
      <c r="B225" s="9" t="n">
        <v>1</v>
      </c>
      <c r="C225" s="10" t="inlineStr">
        <is>
          <t>Bài đọc</t>
        </is>
      </c>
      <c r="D225" s="11" t="inlineStr">
        <is>
          <t>Kiến thức nền tảng</t>
        </is>
      </c>
      <c r="E225" s="9" t="inlineStr">
        <is>
          <t>Chưa</t>
        </is>
      </c>
      <c r="F225" s="21" t="n"/>
      <c r="G225" s="22" t="n"/>
      <c r="H225" s="11" t="n"/>
    </row>
    <row r="226">
      <c r="A226" s="10" t="inlineStr">
        <is>
          <t>Phần 5</t>
        </is>
      </c>
      <c r="B226" s="9" t="n">
        <v>1</v>
      </c>
      <c r="C226" s="10" t="inlineStr">
        <is>
          <t>Bài đọc</t>
        </is>
      </c>
      <c r="D226" s="11" t="inlineStr">
        <is>
          <t>Phân tích đối tượng: Chìa khóa của mọi giao tiếp</t>
        </is>
      </c>
      <c r="E226" s="9" t="inlineStr">
        <is>
          <t>Chưa</t>
        </is>
      </c>
      <c r="F226" s="21" t="n"/>
      <c r="G226" s="22" t="n"/>
      <c r="H226" s="11" t="n"/>
    </row>
    <row r="227">
      <c r="A227" s="10" t="inlineStr">
        <is>
          <t>Phần 5</t>
        </is>
      </c>
      <c r="B227" s="9" t="n">
        <v>1</v>
      </c>
      <c r="C227" s="10" t="inlineStr">
        <is>
          <t>Bài đọc</t>
        </is>
      </c>
      <c r="D227" s="11" t="inlineStr">
        <is>
          <t>Cấu trúc tài liệu kỹ thuật rõ ràng</t>
        </is>
      </c>
      <c r="E227" s="9" t="inlineStr">
        <is>
          <t>Chưa</t>
        </is>
      </c>
      <c r="F227" s="21" t="n"/>
      <c r="G227" s="22" t="n"/>
      <c r="H227" s="11" t="n"/>
    </row>
    <row r="228">
      <c r="A228" s="10" t="inlineStr">
        <is>
          <t>Phần 5</t>
        </is>
      </c>
      <c r="B228" s="9" t="n">
        <v>1</v>
      </c>
      <c r="C228" s="10" t="inlineStr">
        <is>
          <t>Bài đọc</t>
        </is>
      </c>
      <c r="D228" s="11" t="inlineStr">
        <is>
          <t>Ngôn ngữ và phong cách viết</t>
        </is>
      </c>
      <c r="E228" s="9" t="inlineStr">
        <is>
          <t>Chưa</t>
        </is>
      </c>
      <c r="F228" s="21" t="n"/>
      <c r="G228" s="22" t="n"/>
      <c r="H228" s="11" t="n"/>
    </row>
    <row r="229">
      <c r="A229" s="10" t="inlineStr">
        <is>
          <t>Phần 5</t>
        </is>
      </c>
      <c r="B229" s="9" t="n">
        <v>1</v>
      </c>
      <c r="C229" s="10" t="inlineStr">
        <is>
          <t>Bài đọc</t>
        </is>
      </c>
      <c r="D229" s="11" t="inlineStr">
        <is>
          <t>Trình bày trực quan: Sơ đồ và hình ảnh</t>
        </is>
      </c>
      <c r="E229" s="9" t="inlineStr">
        <is>
          <t>Chưa</t>
        </is>
      </c>
      <c r="F229" s="21" t="n"/>
      <c r="G229" s="22" t="n"/>
      <c r="H229" s="11" t="n"/>
    </row>
    <row r="230">
      <c r="A230" s="10" t="inlineStr">
        <is>
          <t>Phần 5</t>
        </is>
      </c>
      <c r="B230" s="9" t="n">
        <v>1</v>
      </c>
      <c r="C230" s="10" t="inlineStr">
        <is>
          <t>Bài đọc</t>
        </is>
      </c>
      <c r="D230" s="11" t="inlineStr">
        <is>
          <t>Viết tài liệu cho các tình huống cụ thể</t>
        </is>
      </c>
      <c r="E230" s="9" t="inlineStr">
        <is>
          <t>Chưa</t>
        </is>
      </c>
      <c r="F230" s="21" t="n"/>
      <c r="G230" s="22" t="n"/>
      <c r="H230" s="11" t="n"/>
    </row>
    <row r="231">
      <c r="A231" s="10" t="inlineStr">
        <is>
          <t>Phần 5</t>
        </is>
      </c>
      <c r="B231" s="9" t="n">
        <v>1</v>
      </c>
      <c r="C231" s="10" t="inlineStr">
        <is>
          <t>Bài đọc</t>
        </is>
      </c>
      <c r="D231" s="11" t="inlineStr">
        <is>
          <t>Các lỗi thường gặp</t>
        </is>
      </c>
      <c r="E231" s="9" t="inlineStr">
        <is>
          <t>Chưa</t>
        </is>
      </c>
      <c r="F231" s="21" t="n"/>
      <c r="G231" s="22" t="n"/>
      <c r="H231" s="11" t="n"/>
    </row>
    <row r="232">
      <c r="A232" s="10" t="inlineStr">
        <is>
          <t>Phần 5</t>
        </is>
      </c>
      <c r="B232" s="9" t="n">
        <v>1</v>
      </c>
      <c r="C232" s="10" t="inlineStr">
        <is>
          <t>Bài đọc</t>
        </is>
      </c>
      <c r="D232" s="11" t="inlineStr">
        <is>
          <t>Các phương pháp hay nhất</t>
        </is>
      </c>
      <c r="E232" s="9" t="inlineStr">
        <is>
          <t>Chưa</t>
        </is>
      </c>
      <c r="F232" s="21" t="n"/>
      <c r="G232" s="22" t="n"/>
      <c r="H232" s="11" t="n"/>
    </row>
    <row r="233">
      <c r="A233" s="10" t="inlineStr">
        <is>
          <t>Phần 5</t>
        </is>
      </c>
      <c r="B233" s="9" t="n">
        <v>1</v>
      </c>
      <c r="C233" s="10" t="inlineStr">
        <is>
          <t>Bài đọc</t>
        </is>
      </c>
      <c r="D233" s="11" t="inlineStr">
        <is>
          <t>Tài liệu tham khảo</t>
        </is>
      </c>
      <c r="E233" s="9" t="inlineStr">
        <is>
          <t>Chưa</t>
        </is>
      </c>
      <c r="F233" s="21" t="n"/>
      <c r="G233" s="22" t="n"/>
      <c r="H233" s="11" t="n"/>
    </row>
    <row r="234">
      <c r="A234" s="10" t="inlineStr">
        <is>
          <t>Phần 5</t>
        </is>
      </c>
      <c r="B234" s="9" t="n">
        <v>1</v>
      </c>
      <c r="C234" s="10" t="inlineStr">
        <is>
          <t>Bài đọc</t>
        </is>
      </c>
      <c r="D234" s="11" t="inlineStr">
        <is>
          <t>Tổng kết</t>
        </is>
      </c>
      <c r="E234" s="9" t="inlineStr">
        <is>
          <t>Chưa</t>
        </is>
      </c>
      <c r="F234" s="21" t="n"/>
      <c r="G234" s="22" t="n"/>
      <c r="H234" s="11" t="n"/>
    </row>
    <row r="235">
      <c r="A235" s="10" t="inlineStr">
        <is>
          <t>Phần 5</t>
        </is>
      </c>
      <c r="B235" s="9" t="n">
        <v>1</v>
      </c>
      <c r="C235" s="10" t="inlineStr">
        <is>
          <t>Quiz</t>
        </is>
      </c>
      <c r="D235" s="11" t="inlineStr">
        <is>
          <t>Làm bài kiểm tra cuối bài</t>
        </is>
      </c>
      <c r="E235" s="9" t="inlineStr">
        <is>
          <t>Chưa</t>
        </is>
      </c>
      <c r="F235" s="21" t="n"/>
      <c r="G235" s="22" t="n"/>
      <c r="H235" s="11" t="n"/>
    </row>
    <row r="236">
      <c r="A236" s="16" t="inlineStr">
        <is>
          <t>Phần 5</t>
        </is>
      </c>
      <c r="B236" s="17" t="n">
        <v>2</v>
      </c>
      <c r="C236" s="16" t="inlineStr">
        <is>
          <t>BÀI HỌC</t>
        </is>
      </c>
      <c r="D236" s="18" t="inlineStr">
        <is>
          <t>Bài 18: Giao tiếp Đa văn hóa &amp; Khách hàng Nước ngoài — Làm việc Offshore và vai trò BrSE</t>
        </is>
      </c>
      <c r="E236" s="17">
        <f>IF(G236=1,"Hoàn thành",IF(G236&gt;0,"Đang học","Chưa học"))</f>
        <v/>
      </c>
      <c r="F236" s="19" t="n"/>
      <c r="G236" s="20">
        <f>COUNTIF(E237:E247,"Xong")/COUNTA(E237:E247)</f>
        <v/>
      </c>
      <c r="H236" s="18" t="n"/>
    </row>
    <row r="237">
      <c r="A237" s="10" t="inlineStr">
        <is>
          <t>Phần 5</t>
        </is>
      </c>
      <c r="B237" s="9" t="n">
        <v>2</v>
      </c>
      <c r="C237" s="10" t="inlineStr">
        <is>
          <t>Bài đọc</t>
        </is>
      </c>
      <c r="D237" s="11" t="inlineStr">
        <is>
          <t>Giới thiệu</t>
        </is>
      </c>
      <c r="E237" s="9" t="inlineStr">
        <is>
          <t>Chưa</t>
        </is>
      </c>
      <c r="F237" s="21" t="n"/>
      <c r="G237" s="22" t="n"/>
      <c r="H237" s="11" t="n"/>
    </row>
    <row r="238">
      <c r="A238" s="10" t="inlineStr">
        <is>
          <t>Phần 5</t>
        </is>
      </c>
      <c r="B238" s="9" t="n">
        <v>2</v>
      </c>
      <c r="C238" s="10" t="inlineStr">
        <is>
          <t>Bài đọc</t>
        </is>
      </c>
      <c r="D238" s="11" t="inlineStr">
        <is>
          <t>Điều kiện tiên quyết</t>
        </is>
      </c>
      <c r="E238" s="9" t="inlineStr">
        <is>
          <t>Chưa</t>
        </is>
      </c>
      <c r="F238" s="21" t="n"/>
      <c r="G238" s="22" t="n"/>
      <c r="H238" s="11" t="n"/>
    </row>
    <row r="239">
      <c r="A239" s="10" t="inlineStr">
        <is>
          <t>Phần 5</t>
        </is>
      </c>
      <c r="B239" s="9" t="n">
        <v>2</v>
      </c>
      <c r="C239" s="10" t="inlineStr">
        <is>
          <t>Bài đọc</t>
        </is>
      </c>
      <c r="D239" s="11" t="inlineStr">
        <is>
          <t>Sự khác biệt văn hóa: Chìa khóa thành công trong giao tiếp đa văn hóa</t>
        </is>
      </c>
      <c r="E239" s="9" t="inlineStr">
        <is>
          <t>Chưa</t>
        </is>
      </c>
      <c r="F239" s="21" t="n"/>
      <c r="G239" s="22" t="n"/>
      <c r="H239" s="11" t="n"/>
    </row>
    <row r="240">
      <c r="A240" s="10" t="inlineStr">
        <is>
          <t>Phần 5</t>
        </is>
      </c>
      <c r="B240" s="9" t="n">
        <v>2</v>
      </c>
      <c r="C240" s="10" t="inlineStr">
        <is>
          <t>Bài đọc</t>
        </is>
      </c>
      <c r="D240" s="11" t="inlineStr">
        <is>
          <t>Vai trò của Bridge Software Engineer (BrSE)</t>
        </is>
      </c>
      <c r="E240" s="9" t="inlineStr">
        <is>
          <t>Chưa</t>
        </is>
      </c>
      <c r="F240" s="21" t="n"/>
      <c r="G240" s="22" t="n"/>
      <c r="H240" s="11" t="n"/>
    </row>
    <row r="241">
      <c r="A241" s="10" t="inlineStr">
        <is>
          <t>Phần 5</t>
        </is>
      </c>
      <c r="B241" s="9" t="n">
        <v>2</v>
      </c>
      <c r="C241" s="10" t="inlineStr">
        <is>
          <t>Bài đọc</t>
        </is>
      </c>
      <c r="D241" s="11" t="inlineStr">
        <is>
          <t>Kỳ vọng tài liệu: Làm thế nào để đáp ứng?</t>
        </is>
      </c>
      <c r="E241" s="9" t="inlineStr">
        <is>
          <t>Chưa</t>
        </is>
      </c>
      <c r="F241" s="21" t="n"/>
      <c r="G241" s="22" t="n"/>
      <c r="H241" s="11" t="n"/>
    </row>
    <row r="242">
      <c r="A242" s="10" t="inlineStr">
        <is>
          <t>Phần 5</t>
        </is>
      </c>
      <c r="B242" s="9" t="n">
        <v>2</v>
      </c>
      <c r="C242" s="10" t="inlineStr">
        <is>
          <t>Bài đọc</t>
        </is>
      </c>
      <c r="D242" s="11" t="inlineStr">
        <is>
          <t>Làm việc Offshore: Các thách thức và giải pháp</t>
        </is>
      </c>
      <c r="E242" s="9" t="inlineStr">
        <is>
          <t>Chưa</t>
        </is>
      </c>
      <c r="F242" s="21" t="n"/>
      <c r="G242" s="22" t="n"/>
      <c r="H242" s="11" t="n"/>
    </row>
    <row r="243">
      <c r="A243" s="10" t="inlineStr">
        <is>
          <t>Phần 5</t>
        </is>
      </c>
      <c r="B243" s="9" t="n">
        <v>2</v>
      </c>
      <c r="C243" s="10" t="inlineStr">
        <is>
          <t>Bài đọc</t>
        </is>
      </c>
      <c r="D243" s="11" t="inlineStr">
        <is>
          <t>Các lỗi thường gặp và cách khắc phục</t>
        </is>
      </c>
      <c r="E243" s="9" t="inlineStr">
        <is>
          <t>Chưa</t>
        </is>
      </c>
      <c r="F243" s="21" t="n"/>
      <c r="G243" s="22" t="n"/>
      <c r="H243" s="11" t="n"/>
    </row>
    <row r="244">
      <c r="A244" s="10" t="inlineStr">
        <is>
          <t>Phần 5</t>
        </is>
      </c>
      <c r="B244" s="9" t="n">
        <v>2</v>
      </c>
      <c r="C244" s="10" t="inlineStr">
        <is>
          <t>Bài đọc</t>
        </is>
      </c>
      <c r="D244" s="11" t="inlineStr">
        <is>
          <t>Các thực hành tốt nhất</t>
        </is>
      </c>
      <c r="E244" s="9" t="inlineStr">
        <is>
          <t>Chưa</t>
        </is>
      </c>
      <c r="F244" s="21" t="n"/>
      <c r="G244" s="22" t="n"/>
      <c r="H244" s="11" t="n"/>
    </row>
    <row r="245">
      <c r="A245" s="10" t="inlineStr">
        <is>
          <t>Phần 5</t>
        </is>
      </c>
      <c r="B245" s="9" t="n">
        <v>2</v>
      </c>
      <c r="C245" s="10" t="inlineStr">
        <is>
          <t>Bài đọc</t>
        </is>
      </c>
      <c r="D245" s="11" t="inlineStr">
        <is>
          <t>Tham khảo</t>
        </is>
      </c>
      <c r="E245" s="9" t="inlineStr">
        <is>
          <t>Chưa</t>
        </is>
      </c>
      <c r="F245" s="21" t="n"/>
      <c r="G245" s="22" t="n"/>
      <c r="H245" s="11" t="n"/>
    </row>
    <row r="246">
      <c r="A246" s="10" t="inlineStr">
        <is>
          <t>Phần 5</t>
        </is>
      </c>
      <c r="B246" s="9" t="n">
        <v>2</v>
      </c>
      <c r="C246" s="10" t="inlineStr">
        <is>
          <t>Bài đọc</t>
        </is>
      </c>
      <c r="D246" s="11" t="inlineStr">
        <is>
          <t>Tổng kết</t>
        </is>
      </c>
      <c r="E246" s="9" t="inlineStr">
        <is>
          <t>Chưa</t>
        </is>
      </c>
      <c r="F246" s="21" t="n"/>
      <c r="G246" s="22" t="n"/>
      <c r="H246" s="11" t="n"/>
    </row>
    <row r="247">
      <c r="A247" s="10" t="inlineStr">
        <is>
          <t>Phần 5</t>
        </is>
      </c>
      <c r="B247" s="9" t="n">
        <v>2</v>
      </c>
      <c r="C247" s="10" t="inlineStr">
        <is>
          <t>Quiz</t>
        </is>
      </c>
      <c r="D247" s="11" t="inlineStr">
        <is>
          <t>Làm bài kiểm tra cuối bài</t>
        </is>
      </c>
      <c r="E247" s="9" t="inlineStr">
        <is>
          <t>Chưa</t>
        </is>
      </c>
      <c r="F247" s="21" t="n"/>
      <c r="G247" s="22" t="n"/>
      <c r="H247" s="11" t="n"/>
    </row>
    <row r="248">
      <c r="A248" s="16" t="inlineStr">
        <is>
          <t>Phần 5</t>
        </is>
      </c>
      <c r="B248" s="17" t="n">
        <v>3</v>
      </c>
      <c r="C248" s="16" t="inlineStr">
        <is>
          <t>BÀI HỌC</t>
        </is>
      </c>
      <c r="D248" s="18" t="inlineStr">
        <is>
          <t>Bài 19: Quản lý Xung đột &amp; Bất đồng Kỹ thuật — Disagree and Commit</t>
        </is>
      </c>
      <c r="E248" s="17">
        <f>IF(G248=1,"Hoàn thành",IF(G248&gt;0,"Đang học","Chưa học"))</f>
        <v/>
      </c>
      <c r="F248" s="19" t="n"/>
      <c r="G248" s="20">
        <f>COUNTIF(E249:E260,"Xong")/COUNTA(E249:E260)</f>
        <v/>
      </c>
      <c r="H248" s="18" t="n"/>
    </row>
    <row r="249">
      <c r="A249" s="10" t="inlineStr">
        <is>
          <t>Phần 5</t>
        </is>
      </c>
      <c r="B249" s="9" t="n">
        <v>3</v>
      </c>
      <c r="C249" s="10" t="inlineStr">
        <is>
          <t>Bài đọc</t>
        </is>
      </c>
      <c r="D249" s="11" t="inlineStr">
        <is>
          <t>Giới thiệu</t>
        </is>
      </c>
      <c r="E249" s="9" t="inlineStr">
        <is>
          <t>Chưa</t>
        </is>
      </c>
      <c r="F249" s="21" t="n"/>
      <c r="G249" s="22" t="n"/>
      <c r="H249" s="11" t="n"/>
    </row>
    <row r="250">
      <c r="A250" s="10" t="inlineStr">
        <is>
          <t>Phần 5</t>
        </is>
      </c>
      <c r="B250" s="9" t="n">
        <v>3</v>
      </c>
      <c r="C250" s="10" t="inlineStr">
        <is>
          <t>Bài đọc</t>
        </is>
      </c>
      <c r="D250" s="11" t="inlineStr">
        <is>
          <t>Kiến thức cần có</t>
        </is>
      </c>
      <c r="E250" s="9" t="inlineStr">
        <is>
          <t>Chưa</t>
        </is>
      </c>
      <c r="F250" s="21" t="n"/>
      <c r="G250" s="22" t="n"/>
      <c r="H250" s="11" t="n"/>
    </row>
    <row r="251">
      <c r="A251" s="10" t="inlineStr">
        <is>
          <t>Phần 5</t>
        </is>
      </c>
      <c r="B251" s="9" t="n">
        <v>3</v>
      </c>
      <c r="C251" s="10" t="inlineStr">
        <is>
          <t>Bài đọc</t>
        </is>
      </c>
      <c r="D251" s="11" t="inlineStr">
        <is>
          <t>Các loại xung đột kỹ thuật</t>
        </is>
      </c>
      <c r="E251" s="9" t="inlineStr">
        <is>
          <t>Chưa</t>
        </is>
      </c>
      <c r="F251" s="21" t="n"/>
      <c r="G251" s="22" t="n"/>
      <c r="H251" s="11" t="n"/>
    </row>
    <row r="252">
      <c r="A252" s="10" t="inlineStr">
        <is>
          <t>Phần 5</t>
        </is>
      </c>
      <c r="B252" s="9" t="n">
        <v>3</v>
      </c>
      <c r="C252" s="10" t="inlineStr">
        <is>
          <t>Bài đọc</t>
        </is>
      </c>
      <c r="D252" s="11" t="inlineStr">
        <is>
          <t>Kỹ thuật Disagree and Commit</t>
        </is>
      </c>
      <c r="E252" s="9" t="inlineStr">
        <is>
          <t>Chưa</t>
        </is>
      </c>
      <c r="F252" s="21" t="n"/>
      <c r="G252" s="22" t="n"/>
      <c r="H252" s="11" t="n"/>
    </row>
    <row r="253">
      <c r="A253" s="10" t="inlineStr">
        <is>
          <t>Phần 5</t>
        </is>
      </c>
      <c r="B253" s="9" t="n">
        <v>3</v>
      </c>
      <c r="C253" s="10" t="inlineStr">
        <is>
          <t>Bài đọc</t>
        </is>
      </c>
      <c r="D253" s="11" t="inlineStr">
        <is>
          <t>Tổ chức tranh luận kỹ thuật hiệu quả</t>
        </is>
      </c>
      <c r="E253" s="9" t="inlineStr">
        <is>
          <t>Chưa</t>
        </is>
      </c>
      <c r="F253" s="21" t="n"/>
      <c r="G253" s="22" t="n"/>
      <c r="H253" s="11" t="n"/>
    </row>
    <row r="254">
      <c r="A254" s="10" t="inlineStr">
        <is>
          <t>Phần 5</t>
        </is>
      </c>
      <c r="B254" s="9" t="n">
        <v>3</v>
      </c>
      <c r="C254" s="10" t="inlineStr">
        <is>
          <t>Bài đọc</t>
        </is>
      </c>
      <c r="D254" s="11" t="inlineStr">
        <is>
          <t>Công cụ hỗ trợ quyết định</t>
        </is>
      </c>
      <c r="E254" s="9" t="inlineStr">
        <is>
          <t>Chưa</t>
        </is>
      </c>
      <c r="F254" s="21" t="n"/>
      <c r="G254" s="22" t="n"/>
      <c r="H254" s="11" t="n"/>
    </row>
    <row r="255">
      <c r="A255" s="10" t="inlineStr">
        <is>
          <t>Phần 5</t>
        </is>
      </c>
      <c r="B255" s="9" t="n">
        <v>3</v>
      </c>
      <c r="C255" s="10" t="inlineStr">
        <is>
          <t>Bài đọc</t>
        </is>
      </c>
      <c r="D255" s="11" t="inlineStr">
        <is>
          <t>Xử lý các tình huống khó khăn</t>
        </is>
      </c>
      <c r="E255" s="9" t="inlineStr">
        <is>
          <t>Chưa</t>
        </is>
      </c>
      <c r="F255" s="21" t="n"/>
      <c r="G255" s="22" t="n"/>
      <c r="H255" s="11" t="n"/>
    </row>
    <row r="256">
      <c r="A256" s="10" t="inlineStr">
        <is>
          <t>Phần 5</t>
        </is>
      </c>
      <c r="B256" s="9" t="n">
        <v>3</v>
      </c>
      <c r="C256" s="10" t="inlineStr">
        <is>
          <t>Bài đọc</t>
        </is>
      </c>
      <c r="D256" s="11" t="inlineStr">
        <is>
          <t>Các lỗi thường gặp</t>
        </is>
      </c>
      <c r="E256" s="9" t="inlineStr">
        <is>
          <t>Chưa</t>
        </is>
      </c>
      <c r="F256" s="21" t="n"/>
      <c r="G256" s="22" t="n"/>
      <c r="H256" s="11" t="n"/>
    </row>
    <row r="257">
      <c r="A257" s="10" t="inlineStr">
        <is>
          <t>Phần 5</t>
        </is>
      </c>
      <c r="B257" s="9" t="n">
        <v>3</v>
      </c>
      <c r="C257" s="10" t="inlineStr">
        <is>
          <t>Bài đọc</t>
        </is>
      </c>
      <c r="D257" s="11" t="inlineStr">
        <is>
          <t>Best Practices</t>
        </is>
      </c>
      <c r="E257" s="9" t="inlineStr">
        <is>
          <t>Chưa</t>
        </is>
      </c>
      <c r="F257" s="21" t="n"/>
      <c r="G257" s="22" t="n"/>
      <c r="H257" s="11" t="n"/>
    </row>
    <row r="258">
      <c r="A258" s="10" t="inlineStr">
        <is>
          <t>Phần 5</t>
        </is>
      </c>
      <c r="B258" s="9" t="n">
        <v>3</v>
      </c>
      <c r="C258" s="10" t="inlineStr">
        <is>
          <t>Bài đọc</t>
        </is>
      </c>
      <c r="D258" s="11" t="inlineStr">
        <is>
          <t>References</t>
        </is>
      </c>
      <c r="E258" s="9" t="inlineStr">
        <is>
          <t>Chưa</t>
        </is>
      </c>
      <c r="F258" s="21" t="n"/>
      <c r="G258" s="22" t="n"/>
      <c r="H258" s="11" t="n"/>
    </row>
    <row r="259">
      <c r="A259" s="10" t="inlineStr">
        <is>
          <t>Phần 5</t>
        </is>
      </c>
      <c r="B259" s="9" t="n">
        <v>3</v>
      </c>
      <c r="C259" s="10" t="inlineStr">
        <is>
          <t>Bài đọc</t>
        </is>
      </c>
      <c r="D259" s="11" t="inlineStr">
        <is>
          <t>Tổng kết</t>
        </is>
      </c>
      <c r="E259" s="9" t="inlineStr">
        <is>
          <t>Chưa</t>
        </is>
      </c>
      <c r="F259" s="21" t="n"/>
      <c r="G259" s="22" t="n"/>
      <c r="H259" s="11" t="n"/>
    </row>
    <row r="260">
      <c r="A260" s="10" t="inlineStr">
        <is>
          <t>Phần 5</t>
        </is>
      </c>
      <c r="B260" s="9" t="n">
        <v>3</v>
      </c>
      <c r="C260" s="10" t="inlineStr">
        <is>
          <t>Quiz</t>
        </is>
      </c>
      <c r="D260" s="11" t="inlineStr">
        <is>
          <t>Làm bài kiểm tra cuối bài</t>
        </is>
      </c>
      <c r="E260" s="9" t="inlineStr">
        <is>
          <t>Chưa</t>
        </is>
      </c>
      <c r="F260" s="21" t="n"/>
      <c r="G260" s="22" t="n"/>
      <c r="H260" s="11" t="n"/>
    </row>
    <row r="261">
      <c r="A261" s="16" t="inlineStr">
        <is>
          <t>Phần 5</t>
        </is>
      </c>
      <c r="B261" s="17" t="n">
        <v>4</v>
      </c>
      <c r="C261" s="16" t="inlineStr">
        <is>
          <t>BÀI HỌC</t>
        </is>
      </c>
      <c r="D261" s="18" t="inlineStr">
        <is>
          <t>Bài 20: Báo cáo &amp; Làm việc với Stakeholder — Dịch ngôn ngữ Kỹ thuật sang Business</t>
        </is>
      </c>
      <c r="E261" s="17">
        <f>IF(G261=1,"Hoàn thành",IF(G261&gt;0,"Đang học","Chưa học"))</f>
        <v/>
      </c>
      <c r="F261" s="19" t="n"/>
      <c r="G261" s="20">
        <f>COUNTIF(E262:E273,"Xong")/COUNTA(E262:E273)</f>
        <v/>
      </c>
      <c r="H261" s="18" t="n"/>
    </row>
    <row r="262">
      <c r="A262" s="10" t="inlineStr">
        <is>
          <t>Phần 5</t>
        </is>
      </c>
      <c r="B262" s="9" t="n">
        <v>4</v>
      </c>
      <c r="C262" s="10" t="inlineStr">
        <is>
          <t>Bài đọc</t>
        </is>
      </c>
      <c r="D262" s="11" t="inlineStr">
        <is>
          <t>Bài 20: Báo cáo &amp; Làm việc với Stakeholder — Dịch ngôn ngữ Kỹ thuật sang Business</t>
        </is>
      </c>
      <c r="E262" s="9" t="inlineStr">
        <is>
          <t>Chưa</t>
        </is>
      </c>
      <c r="F262" s="21" t="n"/>
      <c r="G262" s="22" t="n"/>
      <c r="H262" s="11" t="n"/>
    </row>
    <row r="263">
      <c r="A263" s="10" t="inlineStr">
        <is>
          <t>Phần 5</t>
        </is>
      </c>
      <c r="B263" s="9" t="n">
        <v>4</v>
      </c>
      <c r="C263" s="10" t="inlineStr">
        <is>
          <t>Bài đọc</t>
        </is>
      </c>
      <c r="D263" s="11" t="inlineStr">
        <is>
          <t>Giới thiệu</t>
        </is>
      </c>
      <c r="E263" s="9" t="inlineStr">
        <is>
          <t>Chưa</t>
        </is>
      </c>
      <c r="F263" s="21" t="n"/>
      <c r="G263" s="22" t="n"/>
      <c r="H263" s="11" t="n"/>
    </row>
    <row r="264">
      <c r="A264" s="10" t="inlineStr">
        <is>
          <t>Phần 5</t>
        </is>
      </c>
      <c r="B264" s="9" t="n">
        <v>4</v>
      </c>
      <c r="C264" s="10" t="inlineStr">
        <is>
          <t>Bài đọc</t>
        </is>
      </c>
      <c r="D264" s="11" t="inlineStr">
        <is>
          <t>Kiến thức cần có</t>
        </is>
      </c>
      <c r="E264" s="9" t="inlineStr">
        <is>
          <t>Chưa</t>
        </is>
      </c>
      <c r="F264" s="21" t="n"/>
      <c r="G264" s="22" t="n"/>
      <c r="H264" s="11" t="n"/>
    </row>
    <row r="265">
      <c r="A265" s="10" t="inlineStr">
        <is>
          <t>Phần 5</t>
        </is>
      </c>
      <c r="B265" s="9" t="n">
        <v>4</v>
      </c>
      <c r="C265" s="10" t="inlineStr">
        <is>
          <t>Bài đọc</t>
        </is>
      </c>
      <c r="D265" s="11" t="inlineStr">
        <is>
          <t>Hiểu về ngôn ngữ Kỹ thuật và Business</t>
        </is>
      </c>
      <c r="E265" s="9" t="inlineStr">
        <is>
          <t>Chưa</t>
        </is>
      </c>
      <c r="F265" s="21" t="n"/>
      <c r="G265" s="22" t="n"/>
      <c r="H265" s="11" t="n"/>
    </row>
    <row r="266">
      <c r="A266" s="10" t="inlineStr">
        <is>
          <t>Phần 5</t>
        </is>
      </c>
      <c r="B266" s="9" t="n">
        <v>4</v>
      </c>
      <c r="C266" s="10" t="inlineStr">
        <is>
          <t>Bài đọc</t>
        </is>
      </c>
      <c r="D266" s="11" t="inlineStr">
        <is>
          <t>Các loại báo cáo thường gặp</t>
        </is>
      </c>
      <c r="E266" s="9" t="inlineStr">
        <is>
          <t>Chưa</t>
        </is>
      </c>
      <c r="F266" s="21" t="n"/>
      <c r="G266" s="22" t="n"/>
      <c r="H266" s="11" t="n"/>
    </row>
    <row r="267">
      <c r="A267" s="10" t="inlineStr">
        <is>
          <t>Phần 5</t>
        </is>
      </c>
      <c r="B267" s="9" t="n">
        <v>4</v>
      </c>
      <c r="C267" s="10" t="inlineStr">
        <is>
          <t>Bài đọc</t>
        </is>
      </c>
      <c r="D267" s="11" t="inlineStr">
        <is>
          <t>Kỹ thuật giao tiếp hiệu quả</t>
        </is>
      </c>
      <c r="E267" s="9" t="inlineStr">
        <is>
          <t>Chưa</t>
        </is>
      </c>
      <c r="F267" s="21" t="n"/>
      <c r="G267" s="22" t="n"/>
      <c r="H267" s="11" t="n"/>
    </row>
    <row r="268">
      <c r="A268" s="10" t="inlineStr">
        <is>
          <t>Phần 5</t>
        </is>
      </c>
      <c r="B268" s="9" t="n">
        <v>4</v>
      </c>
      <c r="C268" s="10" t="inlineStr">
        <is>
          <t>Bài đọc</t>
        </is>
      </c>
      <c r="D268" s="11" t="inlineStr">
        <is>
          <t>Công cụ hỗ trợ báo cáo</t>
        </is>
      </c>
      <c r="E268" s="9" t="inlineStr">
        <is>
          <t>Chưa</t>
        </is>
      </c>
      <c r="F268" s="21" t="n"/>
      <c r="G268" s="22" t="n"/>
      <c r="H268" s="11" t="n"/>
    </row>
    <row r="269">
      <c r="A269" s="10" t="inlineStr">
        <is>
          <t>Phần 5</t>
        </is>
      </c>
      <c r="B269" s="9" t="n">
        <v>4</v>
      </c>
      <c r="C269" s="10" t="inlineStr">
        <is>
          <t>Bài đọc</t>
        </is>
      </c>
      <c r="D269" s="11" t="inlineStr">
        <is>
          <t>Lỗi thường gặp và giải pháp</t>
        </is>
      </c>
      <c r="E269" s="9" t="inlineStr">
        <is>
          <t>Chưa</t>
        </is>
      </c>
      <c r="F269" s="21" t="n"/>
      <c r="G269" s="22" t="n"/>
      <c r="H269" s="11" t="n"/>
    </row>
    <row r="270">
      <c r="A270" s="10" t="inlineStr">
        <is>
          <t>Phần 5</t>
        </is>
      </c>
      <c r="B270" s="9" t="n">
        <v>4</v>
      </c>
      <c r="C270" s="10" t="inlineStr">
        <is>
          <t>Bài đọc</t>
        </is>
      </c>
      <c r="D270" s="11" t="inlineStr">
        <is>
          <t>Best Practices</t>
        </is>
      </c>
      <c r="E270" s="9" t="inlineStr">
        <is>
          <t>Chưa</t>
        </is>
      </c>
      <c r="F270" s="21" t="n"/>
      <c r="G270" s="22" t="n"/>
      <c r="H270" s="11" t="n"/>
    </row>
    <row r="271">
      <c r="A271" s="10" t="inlineStr">
        <is>
          <t>Phần 5</t>
        </is>
      </c>
      <c r="B271" s="9" t="n">
        <v>4</v>
      </c>
      <c r="C271" s="10" t="inlineStr">
        <is>
          <t>Bài đọc</t>
        </is>
      </c>
      <c r="D271" s="11" t="inlineStr">
        <is>
          <t>Tài liệu tham khảo</t>
        </is>
      </c>
      <c r="E271" s="9" t="inlineStr">
        <is>
          <t>Chưa</t>
        </is>
      </c>
      <c r="F271" s="21" t="n"/>
      <c r="G271" s="22" t="n"/>
      <c r="H271" s="11" t="n"/>
    </row>
    <row r="272">
      <c r="A272" s="10" t="inlineStr">
        <is>
          <t>Phần 5</t>
        </is>
      </c>
      <c r="B272" s="9" t="n">
        <v>4</v>
      </c>
      <c r="C272" s="10" t="inlineStr">
        <is>
          <t>Bài đọc</t>
        </is>
      </c>
      <c r="D272" s="11" t="inlineStr">
        <is>
          <t>Tổng kết</t>
        </is>
      </c>
      <c r="E272" s="9" t="inlineStr">
        <is>
          <t>Chưa</t>
        </is>
      </c>
      <c r="F272" s="21" t="n"/>
      <c r="G272" s="22" t="n"/>
      <c r="H272" s="11" t="n"/>
    </row>
    <row r="273">
      <c r="A273" s="10" t="inlineStr">
        <is>
          <t>Phần 5</t>
        </is>
      </c>
      <c r="B273" s="9" t="n">
        <v>4</v>
      </c>
      <c r="C273" s="10" t="inlineStr">
        <is>
          <t>Quiz</t>
        </is>
      </c>
      <c r="D273" s="11" t="inlineStr">
        <is>
          <t>Làm bài kiểm tra cuối bài</t>
        </is>
      </c>
      <c r="E273" s="9" t="inlineStr">
        <is>
          <t>Chưa</t>
        </is>
      </c>
      <c r="F273" s="21" t="n"/>
      <c r="G273" s="22" t="n"/>
      <c r="H273" s="11" t="n"/>
    </row>
  </sheetData>
  <autoFilter ref="A4:H273"/>
  <mergeCells count="5">
    <mergeCell ref="A5:D5"/>
    <mergeCell ref="A58:D58"/>
    <mergeCell ref="A221:D221"/>
    <mergeCell ref="A164:D164"/>
    <mergeCell ref="A111:D111"/>
  </mergeCells>
  <conditionalFormatting sqref="E5:E273">
    <cfRule type="expression" priority="1" dxfId="0">
      <formula>OR(E5="Xong",E5="Hoàn thành")</formula>
    </cfRule>
    <cfRule type="expression" priority="2" dxfId="1">
      <formula>E5="Đang học"</formula>
    </cfRule>
  </conditionalFormatting>
  <dataValidations count="1">
    <dataValidation sqref="E7 E8 E9 E10 E11 E12 E13 E14 E15 E16 E17 E19 E20 E21 E22 E23 E24 E25 E26 E27 E28 E29 E30 E32 E33 E34 E35 E36 E37 E38 E39 E40 E41 E42 E43 E44 E46 E47 E48 E49 E50 E51 E52 E53 E54 E55 E56 E57 E60 E61 E62 E63 E64 E65 E66 E67 E68 E69 E70 E71 E73 E74 E75 E76 E77 E78 E79 E80 E81 E82 E83 E84 E86 E87 E88 E89 E90 E91 E92 E93 E94 E95 E96 E97 E99 E100 E101 E102 E103 E104 E105 E106 E107 E108 E109 E110 E113 E114 E115 E116 E117 E118 E119 E120 E121 E122 E123 E125 E126 E127 E128 E129 E130 E131 E132 E133 E134 E135 E136 E138 E139 E140 E141 E142 E143 E144 E145 E146 E147 E148 E149 E151 E152 E153 E154 E155 E156 E157 E158 E159 E160 E161 E162 E163 E166 E167 E168 E169 E170 E171 E172 E173 E174 E175 E176 E177 E178 E179 E181 E182 E183 E184 E185 E186 E187 E188 E189 E190 E191 E192 E194 E195 E196 E197 E198 E199 E200 E201 E202 E203 E204 E205 E206 E208 E209 E210 E211 E212 E213 E214 E215 E216 E217 E218 E219 E220 E223 E224 E225 E226 E227 E228 E229 E230 E231 E232 E233 E234 E235 E237 E238 E239 E240 E241 E242 E243 E244 E245 E246 E247 E249 E250 E251 E252 E253 E254 E255 E256 E257 E258 E259 E260 E262 E263 E264 E265 E266 E267 E268 E269 E270 E271 E272 E273" showDropDown="0" showInputMessage="0" showErrorMessage="0" allowBlank="0" type="list">
      <formula1>"Chưa,Xong"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2026-10-09T12:26:40Z</dcterms:created>
  <dcterms:modified xmlns:dcterms="http://purl.org/dc/terms/" xmlns:xsi="http://www.w3.org/2001/XMLSchema-instance" xsi:type="dcterms:W3CDTF">2026-10-09T12:26:40Z</dcterms:modified>
</cp:coreProperties>
</file>